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Dashboard" sheetId="2" state="visible" r:id="rId4"/>
    <sheet name="Retail_Data" sheetId="3" state="visible" r:id="rId5"/>
    <sheet name="Cell_References" sheetId="4" state="visible" r:id="rId6"/>
    <sheet name="IF_Logic" sheetId="5" state="visible" r:id="rId7"/>
    <sheet name="Nested_IF" sheetId="6" state="visible" r:id="rId8"/>
    <sheet name="SUMIF_COUNTIF" sheetId="7" state="visible" r:id="rId9"/>
    <sheet name="Text_Functions" sheetId="8" state="visible" r:id="rId10"/>
    <sheet name="Conditional_Formatting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<sst xmlns="http://schemas.openxmlformats.org/spreadsheetml/2006/main" count="2017" uniqueCount="702">
  <si>
    <t xml:space="preserve">Retail Sales Analytics — Excel Portfolio</t>
  </si>
  <si>
    <t xml:space="preserve">Saideepak Ramarangula  ·  Business Analytics with AI (Frontlines EduTech, live online programme)  ·  2026</t>
  </si>
  <si>
    <t xml:space="preserve">This workbook brings together my Excel work from the programme into one retail analytics project: a clean source dataset, a KPI dashboard with charts, and the formula techniques behind it — business-rule flags, customer segmentation, conditional totals, text cleaning and visual exception reporting. Everything is formula-driven, so changing the data updates every result.</t>
  </si>
  <si>
    <t xml:space="preserve">What's inside</t>
  </si>
  <si>
    <t xml:space="preserve">#</t>
  </si>
  <si>
    <t xml:space="preserve">Sheet (click to open)</t>
  </si>
  <si>
    <t xml:space="preserve">What it shows</t>
  </si>
  <si>
    <t xml:space="preserve">Excel skills</t>
  </si>
  <si>
    <t xml:space="preserve">Dashboard</t>
  </si>
  <si>
    <t xml:space="preserve">KPIs, summary tables and 4 charts built on 150 retail orders</t>
  </si>
  <si>
    <t xml:space="preserve">SUMIFS, COUNTIFS, EOMONTH, RANK, charts</t>
  </si>
  <si>
    <t xml:space="preserve">Retail_Data</t>
  </si>
  <si>
    <t xml:space="preserve">Clean source table of 150 orders with a calculated Revenue column</t>
  </si>
  <si>
    <t xml:space="preserve">Excel Tables, formulas</t>
  </si>
  <si>
    <t xml:space="preserve">Cell_References</t>
  </si>
  <si>
    <t xml:space="preserve">GST calculator, target tracker and monthly tax grid</t>
  </si>
  <si>
    <t xml:space="preserve">Relative / absolute / mixed references</t>
  </si>
  <si>
    <t xml:space="preserve">IF_Logic</t>
  </si>
  <si>
    <t xml:space="preserve">20 business-rule columns on 10 sales invoices</t>
  </si>
  <si>
    <t xml:space="preserve">IF, AND, OR, nested IF</t>
  </si>
  <si>
    <t xml:space="preserve">Nested_IF</t>
  </si>
  <si>
    <t xml:space="preserve">20 multi-level segmentation rules on 15 customers</t>
  </si>
  <si>
    <t xml:space="preserve">Nested IF, AND, OR</t>
  </si>
  <si>
    <t xml:space="preserve">SUMIF_COUNTIF</t>
  </si>
  <si>
    <t xml:space="preserve">29 single- and multi-condition questions with live answers</t>
  </si>
  <si>
    <t xml:space="preserve">SUMIF, COUNTIF, SUMIFS, COUNTIFS</t>
  </si>
  <si>
    <t xml:space="preserve">Text_Functions</t>
  </si>
  <si>
    <t xml:space="preserve">Cleaning and splitting 10 messy customer records</t>
  </si>
  <si>
    <t xml:space="preserve">TRIM, PROPER, LEFT/RIGHT/MID, FIND, TEXTJOIN …</t>
  </si>
  <si>
    <t xml:space="preserve">Conditional_Formatting</t>
  </si>
  <si>
    <t xml:space="preserve">35 orders with 8 visual rules + customer growth table</t>
  </si>
  <si>
    <t xml:space="preserve">Conditional formatting, icon sets, data bars</t>
  </si>
  <si>
    <t xml:space="preserve">Key findings from the dashboard</t>
  </si>
  <si>
    <t xml:space="preserve">•</t>
  </si>
  <si>
    <t xml:space="preserve">Electronics is the largest category at 47% of revenue — more than Fashion (11%) and Baby (16%) combined.</t>
  </si>
  <si>
    <t xml:space="preserve">North is the weakest region (13% of revenue) — less than half of West (30%).</t>
  </si>
  <si>
    <t xml:space="preserve">Revenue peaked in February and was lowest in June; the half-year is uneven rather than steadily growing.</t>
  </si>
  <si>
    <t xml:space="preserve">The top two products (Laptop, Dining Table) bring in 44% of all revenue.</t>
  </si>
  <si>
    <t xml:space="preserve">How to read the sheets</t>
  </si>
  <si>
    <t xml:space="preserve">■ Navy header = raw data     ■ Green header = calculated with formulas</t>
  </si>
  <si>
    <t xml:space="preserve">Each module sheet ends with a table showing the business rule and the exact formula used.</t>
  </si>
  <si>
    <t xml:space="preserve">Yellow cells with blue text are inputs you can change (e.g. the GST rate).</t>
  </si>
  <si>
    <t xml:space="preserve">Retail Sales Dashboard — Jan to Jun 2026</t>
  </si>
  <si>
    <t xml:space="preserve">150 retail orders summarised by category, region, channel, customer segment, month and product. Every number is a live formula on the Retail_Data sheet.</t>
  </si>
  <si>
    <t xml:space="preserve">Excel skills: SUMIFS, COUNTIFS, AVERAGE, EOMONTH, RANK, KPI design, bar / pie / line charts</t>
  </si>
  <si>
    <t xml:space="preserve">Total Revenue</t>
  </si>
  <si>
    <t xml:space="preserve">Orders</t>
  </si>
  <si>
    <t xml:space="preserve">Units Sold</t>
  </si>
  <si>
    <t xml:space="preserve">Avg Order Value</t>
  </si>
  <si>
    <t xml:space="preserve">Avg Discount</t>
  </si>
  <si>
    <t xml:space="preserve">Revenue by Category</t>
  </si>
  <si>
    <t xml:space="preserve">Revenue by Region</t>
  </si>
  <si>
    <t xml:space="preserve">Category</t>
  </si>
  <si>
    <t xml:space="preserve">Revenue</t>
  </si>
  <si>
    <t xml:space="preserve">Share</t>
  </si>
  <si>
    <t xml:space="preserve">Region</t>
  </si>
  <si>
    <t xml:space="preserve">Electronics</t>
  </si>
  <si>
    <t xml:space="preserve">West</t>
  </si>
  <si>
    <t xml:space="preserve">Home</t>
  </si>
  <si>
    <t xml:space="preserve">East</t>
  </si>
  <si>
    <t xml:space="preserve">Baby</t>
  </si>
  <si>
    <t xml:space="preserve">South</t>
  </si>
  <si>
    <t xml:space="preserve">Fashion</t>
  </si>
  <si>
    <t xml:space="preserve">North</t>
  </si>
  <si>
    <t xml:space="preserve">Total</t>
  </si>
  <si>
    <t xml:space="preserve">Revenue by Channel</t>
  </si>
  <si>
    <t xml:space="preserve">Revenue by Customer Segment</t>
  </si>
  <si>
    <t xml:space="preserve">Channel</t>
  </si>
  <si>
    <t xml:space="preserve">Segment</t>
  </si>
  <si>
    <t xml:space="preserve">Online</t>
  </si>
  <si>
    <t xml:space="preserve">New</t>
  </si>
  <si>
    <t xml:space="preserve">Offline</t>
  </si>
  <si>
    <t xml:space="preserve">VIP</t>
  </si>
  <si>
    <t xml:space="preserve">Omnichannel</t>
  </si>
  <si>
    <t xml:space="preserve">Returning</t>
  </si>
  <si>
    <t xml:space="preserve">Monthly Revenue Trend</t>
  </si>
  <si>
    <t xml:space="preserve">Product Ranking</t>
  </si>
  <si>
    <t xml:space="preserve">Month</t>
  </si>
  <si>
    <t xml:space="preserve">Avg Order</t>
  </si>
  <si>
    <t xml:space="preserve">Product</t>
  </si>
  <si>
    <t xml:space="preserve">Units</t>
  </si>
  <si>
    <t xml:space="preserve">Rank</t>
  </si>
  <si>
    <t xml:space="preserve">Laptop</t>
  </si>
  <si>
    <t xml:space="preserve">Dining Table</t>
  </si>
  <si>
    <t xml:space="preserve">Smartphone</t>
  </si>
  <si>
    <t xml:space="preserve">Baby Stroller</t>
  </si>
  <si>
    <t xml:space="preserve">Sofa</t>
  </si>
  <si>
    <t xml:space="preserve">Sneakers</t>
  </si>
  <si>
    <t xml:space="preserve">Headphones</t>
  </si>
  <si>
    <t xml:space="preserve">Jeans</t>
  </si>
  <si>
    <t xml:space="preserve">Cookware Set</t>
  </si>
  <si>
    <t xml:space="preserve">Baby Shoes</t>
  </si>
  <si>
    <t xml:space="preserve">Diapers</t>
  </si>
  <si>
    <t xml:space="preserve">T-Shirt</t>
  </si>
  <si>
    <t xml:space="preserve">Order_ID</t>
  </si>
  <si>
    <t xml:space="preserve">Order_Date</t>
  </si>
  <si>
    <t xml:space="preserve">Customer_Segment</t>
  </si>
  <si>
    <t xml:space="preserve">Unit_Price</t>
  </si>
  <si>
    <t xml:space="preserve">Discount_Pct</t>
  </si>
  <si>
    <t xml:space="preserve">Payment_Method</t>
  </si>
  <si>
    <t xml:space="preserve">Credit Card</t>
  </si>
  <si>
    <t xml:space="preserve">Cash</t>
  </si>
  <si>
    <t xml:space="preserve">Debit Card</t>
  </si>
  <si>
    <t xml:space="preserve">UPI</t>
  </si>
  <si>
    <t xml:space="preserve">Relative, Absolute &amp; Mixed Cell References</t>
  </si>
  <si>
    <t xml:space="preserve">How $ signs control what changes when a formula is copied — the foundation of every reusable report.</t>
  </si>
  <si>
    <t xml:space="preserve">Excel skills: Relative (A1), absolute ($A$1), mixed ($A1 / A$1) references</t>
  </si>
  <si>
    <t xml:space="preserve">1. Relative + absolute: GST on product sales</t>
  </si>
  <si>
    <t xml:space="preserve">GST rate (input):</t>
  </si>
  <si>
    <t xml:space="preserve">← change this one cell and every GST amount updates (=D9*$C$7)</t>
  </si>
  <si>
    <t xml:space="preserve">Price / Unit</t>
  </si>
  <si>
    <t xml:space="preserve">Sales Amount</t>
  </si>
  <si>
    <t xml:space="preserve">GST Amount</t>
  </si>
  <si>
    <t xml:space="preserve">Final Amount</t>
  </si>
  <si>
    <t xml:space="preserve">Mobile</t>
  </si>
  <si>
    <t xml:space="preserve">TV</t>
  </si>
  <si>
    <t xml:space="preserve">Refrigerator</t>
  </si>
  <si>
    <t xml:space="preserve">Washing Machine</t>
  </si>
  <si>
    <t xml:space="preserve">Tablet</t>
  </si>
  <si>
    <t xml:space="preserve">Speaker</t>
  </si>
  <si>
    <t xml:space="preserve">AC</t>
  </si>
  <si>
    <t xml:space="preserve">2. Mixed reference — column fixed ($B): did each employee beat their own target?</t>
  </si>
  <si>
    <t xml:space="preserve">Employee</t>
  </si>
  <si>
    <t xml:space="preserve">Target</t>
  </si>
  <si>
    <t xml:space="preserve">Jan</t>
  </si>
  <si>
    <t xml:space="preserve">Feb</t>
  </si>
  <si>
    <t xml:space="preserve">Mar</t>
  </si>
  <si>
    <t xml:space="preserve">Jan Met?</t>
  </si>
  <si>
    <t xml:space="preserve">Feb Met?</t>
  </si>
  <si>
    <t xml:space="preserve">Mar Met?</t>
  </si>
  <si>
    <t xml:space="preserve">Ravi</t>
  </si>
  <si>
    <t xml:space="preserve">Priya</t>
  </si>
  <si>
    <t xml:space="preserve">Arjun</t>
  </si>
  <si>
    <t xml:space="preserve">Formula in F22: =C22&gt;$B22  → copied right, the month column moves but the Target column ($B) stays locked.</t>
  </si>
  <si>
    <t xml:space="preserve">3. Mixed reference — row fixed (row 30): monthly tax with a different rate each month</t>
  </si>
  <si>
    <t xml:space="preserve">Apr</t>
  </si>
  <si>
    <t xml:space="preserve">Tax Jan</t>
  </si>
  <si>
    <t xml:space="preserve">Tax Feb</t>
  </si>
  <si>
    <t xml:space="preserve">Tax Mar</t>
  </si>
  <si>
    <t xml:space="preserve">Tax Apr</t>
  </si>
  <si>
    <t xml:space="preserve">Tax Rate</t>
  </si>
  <si>
    <t xml:space="preserve">Product A</t>
  </si>
  <si>
    <t xml:space="preserve">Product B</t>
  </si>
  <si>
    <t xml:space="preserve">Product C</t>
  </si>
  <si>
    <t xml:space="preserve">Formula in G31: =B31*B$30  → copied down, the product row moves but the Tax Rate row (30) stays locked.</t>
  </si>
  <si>
    <t xml:space="preserve">IF, AND &amp; OR — Business Rules on Sales Invoices</t>
  </si>
  <si>
    <t xml:space="preserve">20 manager requests turned into formula columns: flags for VIP customers, bulk orders, fraud checks, tax and data quality.</t>
  </si>
  <si>
    <t xml:space="preserve">Excel skills: IF, IF + AND, IF + OR, nested IF, IF with calculations, blank checks</t>
  </si>
  <si>
    <t xml:space="preserve">Invoice No</t>
  </si>
  <si>
    <t xml:space="preserve">Customer</t>
  </si>
  <si>
    <t xml:space="preserve">Discount %</t>
  </si>
  <si>
    <t xml:space="preserve">Payment Mode</t>
  </si>
  <si>
    <t xml:space="preserve">Returns</t>
  </si>
  <si>
    <t xml:space="preserve">Membership</t>
  </si>
  <si>
    <t xml:space="preserve">Sales Remark</t>
  </si>
  <si>
    <t xml:space="preserve">Premium Customer</t>
  </si>
  <si>
    <t xml:space="preserve">Bulk Purchase</t>
  </si>
  <si>
    <t xml:space="preserve">Discount Status</t>
  </si>
  <si>
    <t xml:space="preserve">Return Alert</t>
  </si>
  <si>
    <t xml:space="preserve">Loyalty Check</t>
  </si>
  <si>
    <t xml:space="preserve">Offer Eligibility</t>
  </si>
  <si>
    <t xml:space="preserve">Bonus Revenue</t>
  </si>
  <si>
    <t xml:space="preserve">Category Type</t>
  </si>
  <si>
    <t xml:space="preserve">Payment Remark</t>
  </si>
  <si>
    <t xml:space="preserve">Customer Grade</t>
  </si>
  <si>
    <t xml:space="preserve">Sales Tax</t>
  </si>
  <si>
    <t xml:space="preserve">EMI Check</t>
  </si>
  <si>
    <t xml:space="preserve">Stock Movement</t>
  </si>
  <si>
    <t xml:space="preserve">Fraud Check</t>
  </si>
  <si>
    <t xml:space="preserve">Festival Discount</t>
  </si>
  <si>
    <t xml:space="preserve">Refund Risk</t>
  </si>
  <si>
    <t xml:space="preserve">Invoice Status</t>
  </si>
  <si>
    <t xml:space="preserve">Data Validation</t>
  </si>
  <si>
    <t xml:space="preserve">Business Insight</t>
  </si>
  <si>
    <t xml:space="preserve">INV001</t>
  </si>
  <si>
    <t xml:space="preserve">Bhumika</t>
  </si>
  <si>
    <t xml:space="preserve">Card</t>
  </si>
  <si>
    <t xml:space="preserve">Gold</t>
  </si>
  <si>
    <t xml:space="preserve">INV002</t>
  </si>
  <si>
    <t xml:space="preserve">Bhavana</t>
  </si>
  <si>
    <t xml:space="preserve">Silver</t>
  </si>
  <si>
    <t xml:space="preserve">INV003</t>
  </si>
  <si>
    <t xml:space="preserve">Charmi</t>
  </si>
  <si>
    <t xml:space="preserve">Grocery</t>
  </si>
  <si>
    <t xml:space="preserve">Regular</t>
  </si>
  <si>
    <t xml:space="preserve">INV004</t>
  </si>
  <si>
    <t xml:space="preserve">Deepak</t>
  </si>
  <si>
    <t xml:space="preserve">Home Decor</t>
  </si>
  <si>
    <t xml:space="preserve">INV005</t>
  </si>
  <si>
    <t xml:space="preserve">EMI</t>
  </si>
  <si>
    <t xml:space="preserve">Platinum</t>
  </si>
  <si>
    <t xml:space="preserve">INV006</t>
  </si>
  <si>
    <t xml:space="preserve">Harika</t>
  </si>
  <si>
    <t xml:space="preserve">INV007</t>
  </si>
  <si>
    <t xml:space="preserve">Jignash</t>
  </si>
  <si>
    <t xml:space="preserve">INV008</t>
  </si>
  <si>
    <t xml:space="preserve">Sowmya</t>
  </si>
  <si>
    <t xml:space="preserve">INV009</t>
  </si>
  <si>
    <t xml:space="preserve">Reshma</t>
  </si>
  <si>
    <t xml:space="preserve">INV010</t>
  </si>
  <si>
    <t xml:space="preserve">Keerthi</t>
  </si>
  <si>
    <t xml:space="preserve">How each column is calculated</t>
  </si>
  <si>
    <t xml:space="preserve">Column</t>
  </si>
  <si>
    <t xml:space="preserve">Business rule</t>
  </si>
  <si>
    <t xml:space="preserve">Formula (first data row)</t>
  </si>
  <si>
    <t xml:space="preserve">Sales ≥ 10,000 → High Sales, else Low Sales</t>
  </si>
  <si>
    <t xml:space="preserve">=IF(D7&gt;=10000,"High Sales","Low Sales")</t>
  </si>
  <si>
    <t xml:space="preserve">Membership = Gold → VIP, else Normal</t>
  </si>
  <si>
    <t xml:space="preserve">=IF(I7="Gold","VIP","Normal")</t>
  </si>
  <si>
    <t xml:space="preserve">Units ≥ 10 → Bulk Order</t>
  </si>
  <si>
    <t xml:space="preserve">=IF(E7&gt;=10,"Bulk Order","Normal Order")</t>
  </si>
  <si>
    <t xml:space="preserve">Discount ≥ 15% → Heavy Discount</t>
  </si>
  <si>
    <t xml:space="preserve">=IF(F7&gt;=15%,"Heavy Discount","Normal Discount")</t>
  </si>
  <si>
    <t xml:space="preserve">Returns &gt; 0 → Attention Needed</t>
  </si>
  <si>
    <t xml:space="preserve">=IF(H7&gt;0,"Attention Needed","No Return")</t>
  </si>
  <si>
    <t xml:space="preserve">Sales ≥ 10,000 AND Gold → Loyal</t>
  </si>
  <si>
    <t xml:space="preserve">=IF(AND(D7&gt;=10000,I7="Gold"),"Loyal","Not Loyal")</t>
  </si>
  <si>
    <t xml:space="preserve">Sales ≥ 15,000 OR Units ≥ 10 → Eligible</t>
  </si>
  <si>
    <t xml:space="preserve">=IF(OR(D7&gt;=15000,E7&gt;=10),"Eligible","Not Eligible")</t>
  </si>
  <si>
    <t xml:space="preserve">Sales ≥ 20,000 → add 500</t>
  </si>
  <si>
    <t xml:space="preserve">=IF(D7&gt;=20000,D7+500,D7)</t>
  </si>
  <si>
    <t xml:space="preserve">Electronics → Tech Product, else Non-Tech</t>
  </si>
  <si>
    <t xml:space="preserve">=IF(C7="Electronics","Tech Product","Non-Tech")</t>
  </si>
  <si>
    <t xml:space="preserve">UPI → Digital Payment</t>
  </si>
  <si>
    <t xml:space="preserve">=IF(G7="UPI","Digital Payment","Other Payment")</t>
  </si>
  <si>
    <t xml:space="preserve">A ≥ 20,000 · B ≥ 10,000 · C ≥ 5,000 · else D</t>
  </si>
  <si>
    <t xml:space="preserve">=IF(D7&gt;=20000,"A",IF(D7&gt;=10000,"B",IF(D7&gt;=5000,"C","D")))</t>
  </si>
  <si>
    <t xml:space="preserve">Electronics 18% of sales, others 5%</t>
  </si>
  <si>
    <t xml:space="preserve">=IF(C7="Electronics",D7*18%,D7*5%)</t>
  </si>
  <si>
    <t xml:space="preserve">Payment Mode = EMI → EMI Purchase</t>
  </si>
  <si>
    <t xml:space="preserve">=IF(G7="EMI","EMI Purchase","Normal Purchase")</t>
  </si>
  <si>
    <t xml:space="preserve">Units &gt; 8 → Fast Moving</t>
  </si>
  <si>
    <t xml:space="preserve">=IF(E7&gt;8,"Fast Moving","Slow Moving")</t>
  </si>
  <si>
    <t xml:space="preserve">Sales &gt; 20,000 AND Cash → Verify</t>
  </si>
  <si>
    <t xml:space="preserve">=IF(AND(D7&gt;20000,G7="Cash"),"Verify Transaction","OK")</t>
  </si>
  <si>
    <t xml:space="preserve">Platinum → extra 5% discount</t>
  </si>
  <si>
    <t xml:space="preserve">=IF(I7="Platinum",F7+5%,F7)</t>
  </si>
  <si>
    <t xml:space="preserve">Returns ≥ 2 → High Risk</t>
  </si>
  <si>
    <t xml:space="preserve">=IF(H7&gt;=2,"High Risk","Low Risk")</t>
  </si>
  <si>
    <t xml:space="preserve">Sales ≥ 15,000 → Large Bill</t>
  </si>
  <si>
    <t xml:space="preserve">=IF(D7&gt;=15000,"Large Bill","Regular Bill")</t>
  </si>
  <si>
    <t xml:space="preserve">Sales blank → Missing Data</t>
  </si>
  <si>
    <t xml:space="preserve">=IF(D7="","Missing Data","Complete")</t>
  </si>
  <si>
    <t xml:space="preserve">Sales ≥ 10,000 AND no returns → Top Customer</t>
  </si>
  <si>
    <t xml:space="preserve">=IF(AND(D7&gt;=10000,H7=0),"Top Customer","Regular")</t>
  </si>
  <si>
    <t xml:space="preserve">Nested IF — Customer Segmentation &amp; Management Actions</t>
  </si>
  <si>
    <t xml:space="preserve">Multi-level rules (2 to 4 levels) that grade customers, size incentives and decide the next action for the sales team.</t>
  </si>
  <si>
    <t xml:space="preserve">Excel skills: Nested IF (up to 4 levels), IF + AND / OR, percentage and calculated outputs</t>
  </si>
  <si>
    <t xml:space="preserve">Store Sales</t>
  </si>
  <si>
    <t xml:space="preserve">Sales Level</t>
  </si>
  <si>
    <t xml:space="preserve">Sales Category</t>
  </si>
  <si>
    <t xml:space="preserve">Units Category</t>
  </si>
  <si>
    <t xml:space="preserve">Discount Category</t>
  </si>
  <si>
    <t xml:space="preserve">Return Risk</t>
  </si>
  <si>
    <t xml:space="preserve">Customer Segment</t>
  </si>
  <si>
    <t xml:space="preserve">Performance Rating</t>
  </si>
  <si>
    <t xml:space="preserve">Bonus %</t>
  </si>
  <si>
    <t xml:space="preserve">Incentive Amount</t>
  </si>
  <si>
    <t xml:space="preserve">Purchase Type</t>
  </si>
  <si>
    <t xml:space="preserve">Customer Priority</t>
  </si>
  <si>
    <t xml:space="preserve">Discount Action</t>
  </si>
  <si>
    <t xml:space="preserve">Return Action</t>
  </si>
  <si>
    <t xml:space="preserve">Performance Type</t>
  </si>
  <si>
    <t xml:space="preserve">Customer Eligibility</t>
  </si>
  <si>
    <t xml:space="preserve">Business Risk</t>
  </si>
  <si>
    <t xml:space="preserve">Sales Team Action</t>
  </si>
  <si>
    <t xml:space="preserve">Final Customer Status</t>
  </si>
  <si>
    <t xml:space="preserve">Management Action</t>
  </si>
  <si>
    <t xml:space="preserve">Sindhuja</t>
  </si>
  <si>
    <t xml:space="preserve">Devika</t>
  </si>
  <si>
    <t xml:space="preserve">Uma</t>
  </si>
  <si>
    <t xml:space="preserve">Thanuja</t>
  </si>
  <si>
    <t xml:space="preserve">Alekhya</t>
  </si>
  <si>
    <t xml:space="preserve">Madhuri</t>
  </si>
  <si>
    <t xml:space="preserve">Pavithra</t>
  </si>
  <si>
    <t xml:space="preserve">Jyothirmai</t>
  </si>
  <si>
    <t xml:space="preserve">Joharika</t>
  </si>
  <si>
    <t xml:space="preserve">Lokesh</t>
  </si>
  <si>
    <t xml:space="preserve">Ramya</t>
  </si>
  <si>
    <t xml:space="preserve">Avinash</t>
  </si>
  <si>
    <t xml:space="preserve">Vidhya</t>
  </si>
  <si>
    <t xml:space="preserve">Sudarshan</t>
  </si>
  <si>
    <t xml:space="preserve">Anil</t>
  </si>
  <si>
    <t xml:space="preserve">Sales ≥ 15,000 Very High · ≥ 10,000 High · else Low</t>
  </si>
  <si>
    <t xml:space="preserve">=IF(B7&gt;=15000,"Very High",IF(B7&gt;=10000,"High","Low"))</t>
  </si>
  <si>
    <t xml:space="preserve">≥ 15,000 A · ≥ 10,000 B · ≥ 5,000 C · else D</t>
  </si>
  <si>
    <t xml:space="preserve">=IF(B7&gt;=15000,"A",IF(B7&gt;=10000,"B",IF(B7&gt;=5000,"C","D")))</t>
  </si>
  <si>
    <t xml:space="preserve">≥ 18,000 Excellent · ≥ 15,000 Very Good · ≥ 10,000 Good · ≥ 5,000 Average · else Poor</t>
  </si>
  <si>
    <t xml:space="preserve">=IF(B7&gt;=18000,"Excellent",IF(B7&gt;=15000,"Very Good",IF(B7&gt;=10000,"Good",IF(B7&gt;=5000,"Average","Poor"))))</t>
  </si>
  <si>
    <t xml:space="preserve">Units ≥ 20 Bulk · ≥ 15 Large · ≥ 10 Medium · else Small</t>
  </si>
  <si>
    <t xml:space="preserve">=IF(C7&gt;=20,"Bulk",IF(C7&gt;=15,"Large",IF(C7&gt;=10,"Medium","Small")))</t>
  </si>
  <si>
    <t xml:space="preserve">≥ 15% Very High · ≥ 10% High · ≥ 5% Medium · else Low</t>
  </si>
  <si>
    <t xml:space="preserve">=IF(D7&gt;=15%,"Very High Discount",IF(D7&gt;=10%,"High Discount",IF(D7&gt;=5%,"Medium Discount","Low Discount")))</t>
  </si>
  <si>
    <t xml:space="preserve">Returns ≥ 3 Critical · = 2 High · = 1 Medium · else Low</t>
  </si>
  <si>
    <t xml:space="preserve">=IF(E7&gt;=3,"Critical",IF(E7=2,"High",IF(E7=1,"Medium","Low")))</t>
  </si>
  <si>
    <t xml:space="preserve">≥ 15,000 Premium · ≥ 10,000 Gold · ≥ 5,000 Silver · else Bronze</t>
  </si>
  <si>
    <t xml:space="preserve">=IF(B7&gt;=15000,"Premium",IF(B7&gt;=10000,"Gold",IF(B7&gt;=5000,"Silver","Bronze")))</t>
  </si>
  <si>
    <t xml:space="preserve">≥ 15,000 Excellent · ≥ 10,000 Good · ≥ 7,000 Average · else Needs Improvement</t>
  </si>
  <si>
    <t xml:space="preserve">=IF(B7&gt;=15000,"Excellent",IF(B7&gt;=10000,"Good",IF(B7&gt;=7000,"Average","Needs Improvement")))</t>
  </si>
  <si>
    <t xml:space="preserve">≥ 15,000 15% · ≥ 10,000 10% · ≥ 5,000 5% · else 0%</t>
  </si>
  <si>
    <t xml:space="preserve">=IF(B7&gt;=15000,15%,IF(B7&gt;=10000,10%,IF(B7&gt;=5000,5%,0%)))</t>
  </si>
  <si>
    <t xml:space="preserve">Sales × bonus % from the same tiers</t>
  </si>
  <si>
    <t xml:space="preserve">=IF(B7&gt;=15000,B7*15%,IF(B7&gt;=10000,B7*10%,IF(B7&gt;=5000,B7*5%,0)))</t>
  </si>
  <si>
    <t xml:space="preserve">Units ≥ 20 Very Large · ≥ 15 Large · ≥ 10 Medium · else Small Buyer</t>
  </si>
  <si>
    <t xml:space="preserve">=IF(C7&gt;=20,"Very Large Buyer",IF(C7&gt;=15,"Large Buyer",IF(C7&gt;=10,"Medium Buyer","Small Buyer")))</t>
  </si>
  <si>
    <t xml:space="preserve">≥ 15,000 P1 · ≥ 10,000 P2 · ≥ 5,000 P3 · else P4</t>
  </si>
  <si>
    <t xml:space="preserve">=IF(B7&gt;=15000,"Priority 1",IF(B7&gt;=10000,"Priority 2",IF(B7&gt;=5000,"Priority 3","Priority 4")))</t>
  </si>
  <si>
    <t xml:space="preserve">≥ 15% Review · ≥ 10% Monitor · ≥ 5% Acceptable · else Low Discount</t>
  </si>
  <si>
    <t xml:space="preserve">=IF(D7&gt;=15%,"Review Discount",IF(D7&gt;=10%,"Monitor",IF(D7&gt;=5%,"Acceptable","Low Discount")))</t>
  </si>
  <si>
    <t xml:space="preserve">Returns ≥ 3 Immediate · = 2 Investigate · = 1 Monitor · else No Action</t>
  </si>
  <si>
    <t xml:space="preserve">=IF(E7&gt;=3,"Immediate Action",IF(E7=2,"Investigate",IF(E7=1,"Monitor","No Action")))</t>
  </si>
  <si>
    <t xml:space="preserve">Sales ≥ 15,000 AND Units ≥ 20 Top · Sales ≥ 10,000 AND Units ≥ 15 Strong · else Regular</t>
  </si>
  <si>
    <t xml:space="preserve">=IF(AND(B7&gt;=15000,C7&gt;=20),"Top Performer",IF(AND(B7&gt;=10000,C7&gt;=15),"Strong Performer","Regular Performer"))</t>
  </si>
  <si>
    <t xml:space="preserve">Sales ≥ 15,000 OR Units ≥ 20 VIP · Sales ≥ 10,000 OR Units ≥ 15 Eligible · else Not</t>
  </si>
  <si>
    <t xml:space="preserve">=IF(OR(B7&gt;=15000,C7&gt;=20),"VIP Eligible",IF(OR(B7&gt;=10000,C7&gt;=15),"Eligible","Not Eligible"))</t>
  </si>
  <si>
    <t xml:space="preserve">Returns ≥ 3 Critical · Returns ≥ 2 AND Sales &lt; 8,000 High · Returns = 1 Medium · else Low</t>
  </si>
  <si>
    <t xml:space="preserve">=IF(E7&gt;=3,"Critical Risk",IF(AND(E7&gt;=2,B7&lt;8000),"High Risk",IF(E7=1,"Medium Risk","Low Risk")))</t>
  </si>
  <si>
    <t xml:space="preserve">≥ 15,000 Reward · ≥ 10,000 Appreciate · ≥ 5,000 Coach · else Train</t>
  </si>
  <si>
    <t xml:space="preserve">=IF(B7&gt;=15000,"Reward",IF(B7&gt;=10000,"Appreciate",IF(B7&gt;=5000,"Coach","Train")))</t>
  </si>
  <si>
    <t xml:space="preserve">Sales ≥ 15,000 AND no returns Excellent · Sales ≥ 10,000 AND Returns ≤ 1 Good · Sales ≥ 5,000 Regular · else Low Value</t>
  </si>
  <si>
    <t xml:space="preserve">=IF(AND(B7&gt;=15000,E7=0),"Excellent Customer",IF(AND(B7&gt;=10000,E7&lt;=1),"Good Customer",IF(B7&gt;=5000,"Regular Customer","Low Value Customer")))</t>
  </si>
  <si>
    <t xml:space="preserve">All three (Sales ≥ 15,000, Units ≥ 20, no returns) VIP + Reward · Sales ≥ 10,000 AND Units ≥ 15 Priority · Sales ≥ 5,000 OR Units ≥ 10 Normal · else Needs Attention</t>
  </si>
  <si>
    <t xml:space="preserve">=IF(AND(B7&gt;=15000,C7&gt;=20,E7=0),"VIP + Reward",IF(AND(B7&gt;=10000,C7&gt;=15),"Priority Customer",IF(OR(B7&gt;=5000,C7&gt;=10),"Normal Customer","Needs Attention")))</t>
  </si>
  <si>
    <t xml:space="preserve">Conditional Totals &amp; Counts — Sales Team Report</t>
  </si>
  <si>
    <t xml:space="preserve">29 manager questions answered with single- and multi-condition formulas. Results update automatically when the data changes.</t>
  </si>
  <si>
    <t xml:space="preserve">Excel skills: SUMIF, COUNTIF, SUMIFS, COUNTIFS, comparison operators (&gt;, &gt;=, &lt;&gt;)</t>
  </si>
  <si>
    <t xml:space="preserve">Salesperson</t>
  </si>
  <si>
    <t xml:space="preserve">Function</t>
  </si>
  <si>
    <t xml:space="preserve">Manager question</t>
  </si>
  <si>
    <t xml:space="preserve">Formula</t>
  </si>
  <si>
    <t xml:space="preserve">Answer</t>
  </si>
  <si>
    <t xml:space="preserve">Saranya</t>
  </si>
  <si>
    <t xml:space="preserve">SUMIF</t>
  </si>
  <si>
    <t xml:space="preserve">Total Revenue for South region</t>
  </si>
  <si>
    <t xml:space="preserve">=SUMIF($B$7:$B$16,"South",$E$7:$E$16)</t>
  </si>
  <si>
    <t xml:space="preserve">Tulasi</t>
  </si>
  <si>
    <t xml:space="preserve">Total Units Sold of Mobile</t>
  </si>
  <si>
    <t xml:space="preserve">=SUMIF($C$7:$C$16,"Mobile",$D$7:$D$16)</t>
  </si>
  <si>
    <t xml:space="preserve">Bhargavi</t>
  </si>
  <si>
    <t xml:space="preserve">Total Revenue from Laptop sales</t>
  </si>
  <si>
    <t xml:space="preserve">=SUMIF($C$7:$C$16,"Laptop",$E$7:$E$16)</t>
  </si>
  <si>
    <t xml:space="preserve">Amrutha</t>
  </si>
  <si>
    <t xml:space="preserve">Total Revenue for North region</t>
  </si>
  <si>
    <t xml:space="preserve">=SUMIF($B$7:$B$16,"North",$E$7:$E$16)</t>
  </si>
  <si>
    <t xml:space="preserve">Anitha</t>
  </si>
  <si>
    <t xml:space="preserve">Total Units Sold in East region</t>
  </si>
  <si>
    <t xml:space="preserve">=SUMIF($B$7:$B$16,"East",$D$7:$D$16)</t>
  </si>
  <si>
    <t xml:space="preserve">Sarath</t>
  </si>
  <si>
    <t xml:space="preserve">Total Revenue from deals above 150,000</t>
  </si>
  <si>
    <t xml:space="preserve">=SUMIF($E$7:$E$16,"&gt;150000")</t>
  </si>
  <si>
    <t xml:space="preserve">Yamini</t>
  </si>
  <si>
    <t xml:space="preserve">Total Units Sold where Units ≥ 8</t>
  </si>
  <si>
    <t xml:space="preserve">=SUMIF($D$7:$D$16,"&gt;=8")</t>
  </si>
  <si>
    <t xml:space="preserve">Dhana</t>
  </si>
  <si>
    <t xml:space="preserve">Total Revenue excluding Mobile</t>
  </si>
  <si>
    <t xml:space="preserve">=SUMIF($C$7:$C$16,"&lt;&gt;Mobile",$E$7:$E$16)</t>
  </si>
  <si>
    <t xml:space="preserve">Harini</t>
  </si>
  <si>
    <t xml:space="preserve">Total Revenue by Saranya</t>
  </si>
  <si>
    <t xml:space="preserve">=SUMIF($A$7:$A$16,"Saranya",$E$7:$E$16)</t>
  </si>
  <si>
    <t xml:space="preserve">Deepika</t>
  </si>
  <si>
    <t xml:space="preserve">COUNTIF</t>
  </si>
  <si>
    <t xml:space="preserve">Number of sales in South region</t>
  </si>
  <si>
    <t xml:space="preserve">=COUNTIF($B$7:$B$16,"South")</t>
  </si>
  <si>
    <t xml:space="preserve">Number of Laptop sales</t>
  </si>
  <si>
    <t xml:space="preserve">=COUNTIF($C$7:$C$16,"Laptop")</t>
  </si>
  <si>
    <t xml:space="preserve">Number of Mobile sales</t>
  </si>
  <si>
    <t xml:space="preserve">=COUNTIF($C$7:$C$16,"Mobile")</t>
  </si>
  <si>
    <t xml:space="preserve">Sales with more than 5 units</t>
  </si>
  <si>
    <t xml:space="preserve">=COUNTIF($D$7:$D$16,"&gt;5")</t>
  </si>
  <si>
    <t xml:space="preserve">Sales with 8 or more units</t>
  </si>
  <si>
    <t xml:space="preserve">=COUNTIF($D$7:$D$16,"&gt;=8")</t>
  </si>
  <si>
    <t xml:space="preserve">Sales with Revenue below 150,000</t>
  </si>
  <si>
    <t xml:space="preserve">=COUNTIF($E$7:$E$16,"&lt;150000")</t>
  </si>
  <si>
    <t xml:space="preserve">Sales with Revenue of 200,000 or more</t>
  </si>
  <si>
    <t xml:space="preserve">=COUNTIF($E$7:$E$16,"&gt;=200000")</t>
  </si>
  <si>
    <t xml:space="preserve">Sales outside South region</t>
  </si>
  <si>
    <t xml:space="preserve">=COUNTIF($B$7:$B$16,"&lt;&gt;South")</t>
  </si>
  <si>
    <t xml:space="preserve">Number of sales by Sarath</t>
  </si>
  <si>
    <t xml:space="preserve">=COUNTIF($A$7:$A$16,"Sarath")</t>
  </si>
  <si>
    <t xml:space="preserve">SUMIFS</t>
  </si>
  <si>
    <t xml:space="preserve">Revenue: South region AND Mobile</t>
  </si>
  <si>
    <t xml:space="preserve">=SUMIFS($E$7:$E$16,$B$7:$B$16,"South",$C$7:$C$16,"Mobile")</t>
  </si>
  <si>
    <t xml:space="preserve">Revenue: South region AND Laptop</t>
  </si>
  <si>
    <t xml:space="preserve">=SUMIFS($E$7:$E$16,$B$7:$B$16,"South",$C$7:$C$16,"Laptop")</t>
  </si>
  <si>
    <t xml:space="preserve">Revenue: Mobile AND Units ≥ 8</t>
  </si>
  <si>
    <t xml:space="preserve">=SUMIFS($E$7:$E$16,$C$7:$C$16,"Mobile",$D$7:$D$16,"&gt;=8")</t>
  </si>
  <si>
    <t xml:space="preserve">Units: North region AND Revenue ≥ 150,000</t>
  </si>
  <si>
    <t xml:space="preserve">=SUMIFS($D$7:$D$16,$B$7:$B$16,"North",$E$7:$E$16,"&gt;=150000")</t>
  </si>
  <si>
    <t xml:space="preserve">Revenue: East + West regions</t>
  </si>
  <si>
    <t xml:space="preserve">=SUMIF($B$7:$B$16,"East",$E$7:$E$16)+SUMIF($B$7:$B$16,"West",$E$7:$E$16)</t>
  </si>
  <si>
    <t xml:space="preserve">Revenue: South region excluding Tablet</t>
  </si>
  <si>
    <t xml:space="preserve">=SUMIFS($E$7:$E$16,$B$7:$B$16,"South",$C$7:$C$16,"&lt;&gt;Tablet")</t>
  </si>
  <si>
    <t xml:space="preserve">COUNTIFS</t>
  </si>
  <si>
    <t xml:space="preserve">Count: Laptop sales in North region</t>
  </si>
  <si>
    <t xml:space="preserve">=COUNTIFS($C$7:$C$16,"Laptop",$B$7:$B$16,"North")</t>
  </si>
  <si>
    <t xml:space="preserve">Count: South region AND Mobile</t>
  </si>
  <si>
    <t xml:space="preserve">=COUNTIFS($B$7:$B$16,"South",$C$7:$C$16,"Mobile")</t>
  </si>
  <si>
    <t xml:space="preserve">Count: Units ≥ 8 AND Revenue ≥ 150,000</t>
  </si>
  <si>
    <t xml:space="preserve">=COUNTIFS($D$7:$D$16,"&gt;=8",$E$7:$E$16,"&gt;=150000")</t>
  </si>
  <si>
    <t xml:space="preserve">Count: outside South AND Mobile</t>
  </si>
  <si>
    <t xml:space="preserve">=COUNTIFS($B$7:$B$16,"&lt;&gt;South",$C$7:$C$16,"Mobile")</t>
  </si>
  <si>
    <t xml:space="preserve">Count: Units &lt; 5 AND Revenue &lt; 200,000</t>
  </si>
  <si>
    <t xml:space="preserve">=COUNTIFS($D$7:$D$16,"&lt;5",$E$7:$E$16,"&lt;200000")</t>
  </si>
  <si>
    <t xml:space="preserve">Text Functions — Cleaning a Messy Customer List</t>
  </si>
  <si>
    <t xml:space="preserve">Raw customer records with extra spaces, mixed-case names and emails are standardised and split into useful keys.</t>
  </si>
  <si>
    <t xml:space="preserve">Excel skills: TRIM, PROPER, LOWER, UPPER, LEFT, RIGHT, MID, LEN, FIND, SEARCH, SUBSTITUTE, REPLACE, TEXT, EXACT, TEXTJOIN, &amp;</t>
  </si>
  <si>
    <t xml:space="preserve">Customer ID</t>
  </si>
  <si>
    <t xml:space="preserve">Customer Name (raw)</t>
  </si>
  <si>
    <t xml:space="preserve">Email (raw)</t>
  </si>
  <si>
    <t xml:space="preserve">Store ID</t>
  </si>
  <si>
    <t xml:space="preserve">Product ID</t>
  </si>
  <si>
    <t xml:space="preserve">Purchase Date</t>
  </si>
  <si>
    <t xml:space="preserve">Join Date</t>
  </si>
  <si>
    <t xml:space="preserve">Order Status</t>
  </si>
  <si>
    <t xml:space="preserve">Clean Name</t>
  </si>
  <si>
    <t xml:space="preserve">Email (lower)</t>
  </si>
  <si>
    <t xml:space="preserve">Email (UPPER)</t>
  </si>
  <si>
    <t xml:space="preserve">City Code</t>
  </si>
  <si>
    <t xml:space="preserve">Store No.</t>
  </si>
  <si>
    <t xml:space="preserve">Product Type</t>
  </si>
  <si>
    <t xml:space="preserve">ID Length</t>
  </si>
  <si>
    <t xml:space="preserve">Customer-Store Key</t>
  </si>
  <si>
    <t xml:space="preserve">Record Label</t>
  </si>
  <si>
    <t xml:space="preserve">@ Position</t>
  </si>
  <si>
    <t xml:space="preserve">Gmail User?</t>
  </si>
  <si>
    <t xml:space="preserve">Product ID (/)</t>
  </si>
  <si>
    <t xml:space="preserve">Customer Code</t>
  </si>
  <si>
    <t xml:space="preserve">Purchase Date (text)</t>
  </si>
  <si>
    <t xml:space="preserve">Email in CAPS?</t>
  </si>
  <si>
    <t xml:space="preserve">Email Username</t>
  </si>
  <si>
    <t xml:space="preserve">Email Domain</t>
  </si>
  <si>
    <t xml:space="preserve">C001</t>
  </si>
  <si>
    <t xml:space="preserve">  ravi kumar  </t>
  </si>
  <si>
    <t xml:space="preserve">RAVI@GMAIL.COM</t>
  </si>
  <si>
    <t xml:space="preserve">HYD001</t>
  </si>
  <si>
    <t xml:space="preserve">ELEC-LAP-001</t>
  </si>
  <si>
    <t xml:space="preserve">Delivered</t>
  </si>
  <si>
    <t xml:space="preserve">C002</t>
  </si>
  <si>
    <t xml:space="preserve">anitha   rao</t>
  </si>
  <si>
    <t xml:space="preserve">anitha@gmail.com</t>
  </si>
  <si>
    <t xml:space="preserve">BLR002</t>
  </si>
  <si>
    <t xml:space="preserve">HOME-SOF-002</t>
  </si>
  <si>
    <t xml:space="preserve">C003</t>
  </si>
  <si>
    <t xml:space="preserve">RAM PRASAD</t>
  </si>
  <si>
    <t xml:space="preserve">RAM@YAHOO.COM</t>
  </si>
  <si>
    <t xml:space="preserve">VIZ003</t>
  </si>
  <si>
    <t xml:space="preserve">BABY-TOY-003</t>
  </si>
  <si>
    <t xml:space="preserve">Cancelled</t>
  </si>
  <si>
    <t xml:space="preserve">C004</t>
  </si>
  <si>
    <t xml:space="preserve"> priya reddy </t>
  </si>
  <si>
    <t xml:space="preserve">priya@gmail.com</t>
  </si>
  <si>
    <t xml:space="preserve">HYD004</t>
  </si>
  <si>
    <t xml:space="preserve">ELEC-MON-004</t>
  </si>
  <si>
    <t xml:space="preserve">C005</t>
  </si>
  <si>
    <t xml:space="preserve">suresh kumar</t>
  </si>
  <si>
    <t xml:space="preserve">SURESH@COMPANY.COM</t>
  </si>
  <si>
    <t xml:space="preserve">BLR005</t>
  </si>
  <si>
    <t xml:space="preserve">HOME-BED-005</t>
  </si>
  <si>
    <t xml:space="preserve">C006</t>
  </si>
  <si>
    <t xml:space="preserve">  divya rao</t>
  </si>
  <si>
    <t xml:space="preserve">DIVYA@GMAIL.COM</t>
  </si>
  <si>
    <t xml:space="preserve">VIZ006</t>
  </si>
  <si>
    <t xml:space="preserve">BABY-STR-006</t>
  </si>
  <si>
    <t xml:space="preserve">C007</t>
  </si>
  <si>
    <t xml:space="preserve">ARUN KUMAR</t>
  </si>
  <si>
    <t xml:space="preserve">arun@yahoo.com</t>
  </si>
  <si>
    <t xml:space="preserve">HYD007</t>
  </si>
  <si>
    <t xml:space="preserve">ELEC-PHN-007</t>
  </si>
  <si>
    <t xml:space="preserve">C008</t>
  </si>
  <si>
    <t xml:space="preserve">meena   reddy</t>
  </si>
  <si>
    <t xml:space="preserve">MEENA@GMAIL.COM</t>
  </si>
  <si>
    <t xml:space="preserve">BLR008</t>
  </si>
  <si>
    <t xml:space="preserve">HOME-CHR-008</t>
  </si>
  <si>
    <t xml:space="preserve">C009</t>
  </si>
  <si>
    <t xml:space="preserve">  karthik rao </t>
  </si>
  <si>
    <t xml:space="preserve">karthik@company.com</t>
  </si>
  <si>
    <t xml:space="preserve">VIZ009</t>
  </si>
  <si>
    <t xml:space="preserve">ELEC-TV-009</t>
  </si>
  <si>
    <t xml:space="preserve">C010</t>
  </si>
  <si>
    <t xml:space="preserve">lakshmi devi</t>
  </si>
  <si>
    <t xml:space="preserve">LAKSHMI@YAHOO.COM</t>
  </si>
  <si>
    <t xml:space="preserve">HYD010</t>
  </si>
  <si>
    <t xml:space="preserve">BABY-FED-010</t>
  </si>
  <si>
    <t xml:space="preserve">TRIM + PROPER: remove extra spaces, fix capitals</t>
  </si>
  <si>
    <t xml:space="preserve">=PROPER(TRIM(B7))</t>
  </si>
  <si>
    <t xml:space="preserve">LOWER: standard email format</t>
  </si>
  <si>
    <t xml:space="preserve">=LOWER(TRIM(C7))</t>
  </si>
  <si>
    <t xml:space="preserve">UPPER</t>
  </si>
  <si>
    <t xml:space="preserve">=UPPER(C7)</t>
  </si>
  <si>
    <t xml:space="preserve">LEFT: first 3 characters of Store ID</t>
  </si>
  <si>
    <t xml:space="preserve">=LEFT(D7,3)</t>
  </si>
  <si>
    <t xml:space="preserve">RIGHT: last 3 characters of Store ID</t>
  </si>
  <si>
    <t xml:space="preserve">=RIGHT(D7,3)</t>
  </si>
  <si>
    <t xml:space="preserve">MID + FIND: text between the two dashes</t>
  </si>
  <si>
    <t xml:space="preserve">=MID(E7,FIND("-",E7)+1,FIND("-",E7,FIND("-",E7)+1)-FIND("-",E7)-1)</t>
  </si>
  <si>
    <t xml:space="preserve">LEN: characters in Customer ID</t>
  </si>
  <si>
    <t xml:space="preserve">=LEN(A7)</t>
  </si>
  <si>
    <t xml:space="preserve">&amp; : join Customer ID and City Code</t>
  </si>
  <si>
    <t xml:space="preserve">=A7&amp;"_"&amp;LEFT(D7,3)</t>
  </si>
  <si>
    <t xml:space="preserve">TEXTJOIN: name, store and product in one cell</t>
  </si>
  <si>
    <t xml:space="preserve">=_xlfn.TEXTJOIN(" | ",TRUE,PROPER(TRIM(B7)),D7,E7)</t>
  </si>
  <si>
    <t xml:space="preserve">FIND: position of @ in email</t>
  </si>
  <si>
    <t xml:space="preserve">=FIND("@",C7)</t>
  </si>
  <si>
    <t xml:space="preserve">SEARCH (not case-sensitive) + ISNUMBER</t>
  </si>
  <si>
    <t xml:space="preserve">=IF(ISNUMBER(SEARCH("gmail",C7)),"Yes","No")</t>
  </si>
  <si>
    <t xml:space="preserve">SUBSTITUTE: replace - with /</t>
  </si>
  <si>
    <t xml:space="preserve">=SUBSTITUTE(E7,"-","/")</t>
  </si>
  <si>
    <t xml:space="preserve">REPLACE: swap leading C for CUS</t>
  </si>
  <si>
    <t xml:space="preserve">=REPLACE(A7,1,1,"CUS")</t>
  </si>
  <si>
    <t xml:space="preserve">TEXT: format a date as dd-mmm-yyyy</t>
  </si>
  <si>
    <t xml:space="preserve">=TEXT(F7,"dd-mmm-yyyy")</t>
  </si>
  <si>
    <t xml:space="preserve">EXACT: case-sensitive comparison</t>
  </si>
  <si>
    <t xml:space="preserve">=EXACT(C7,UPPER(C7))</t>
  </si>
  <si>
    <t xml:space="preserve">LEFT + FIND: text before @</t>
  </si>
  <si>
    <t xml:space="preserve">=LEFT(C7,FIND("@",C7)-1)</t>
  </si>
  <si>
    <t xml:space="preserve">RIGHT + LEN + FIND: text after @</t>
  </si>
  <si>
    <t xml:space="preserve">=RIGHT(C7,LEN(C7)-FIND("@",C7))</t>
  </si>
  <si>
    <t xml:space="preserve">Conditional Formatting — Spotting Issues in Retail Orders</t>
  </si>
  <si>
    <t xml:space="preserve">Colour rules make bulk orders, heavy discounts, cancellations, low ratings and top sales visible at a glance.</t>
  </si>
  <si>
    <t xml:space="preserve">Excel skills: Highlight rules, formula-based rules, data bars, icon sets, duplicate check, % growth</t>
  </si>
  <si>
    <t xml:space="preserve">Order ID</t>
  </si>
  <si>
    <t xml:space="preserve">Order Date</t>
  </si>
  <si>
    <t xml:space="preserve">Customer Name</t>
  </si>
  <si>
    <t xml:space="preserve">City</t>
  </si>
  <si>
    <t xml:space="preserve">Subcategory</t>
  </si>
  <si>
    <t xml:space="preserve">Unit Price</t>
  </si>
  <si>
    <t xml:space="preserve">Quantity</t>
  </si>
  <si>
    <t xml:space="preserve">Sales Channel</t>
  </si>
  <si>
    <t xml:space="preserve">Customer Rating</t>
  </si>
  <si>
    <t xml:space="preserve">Gross Sales</t>
  </si>
  <si>
    <t xml:space="preserve">Discount Amount</t>
  </si>
  <si>
    <t xml:space="preserve">Net Sales</t>
  </si>
  <si>
    <t xml:space="preserve">Rules applied</t>
  </si>
  <si>
    <t xml:space="preserve">ORD1001</t>
  </si>
  <si>
    <t xml:space="preserve">Charan</t>
  </si>
  <si>
    <t xml:space="preserve">Bangalore</t>
  </si>
  <si>
    <t xml:space="preserve">Wireless Mouse</t>
  </si>
  <si>
    <t xml:space="preserve">Accessories</t>
  </si>
  <si>
    <t xml:space="preserve">Column / condition</t>
  </si>
  <si>
    <t xml:space="preserve">ORD1002</t>
  </si>
  <si>
    <t xml:space="preserve">Ganapati</t>
  </si>
  <si>
    <t xml:space="preserve">Hyderabad</t>
  </si>
  <si>
    <t xml:space="preserve">Home &amp; Kitchen</t>
  </si>
  <si>
    <t xml:space="preserve">Air Fryer</t>
  </si>
  <si>
    <t xml:space="preserve">Kitchen</t>
  </si>
  <si>
    <t xml:space="preserve">Quantity ≥ 4</t>
  </si>
  <si>
    <t xml:space="preserve">Bulk purchase → blue, bold</t>
  </si>
  <si>
    <t xml:space="preserve">ORD1003</t>
  </si>
  <si>
    <t xml:space="preserve">Chandu</t>
  </si>
  <si>
    <t xml:space="preserve">Chennai</t>
  </si>
  <si>
    <t xml:space="preserve">Running Shoes</t>
  </si>
  <si>
    <t xml:space="preserve">Footwear</t>
  </si>
  <si>
    <t xml:space="preserve">Store</t>
  </si>
  <si>
    <t xml:space="preserve">Discount % ≥ 20%</t>
  </si>
  <si>
    <t xml:space="preserve">Heavy discounting → red</t>
  </si>
  <si>
    <t xml:space="preserve">ORD1004</t>
  </si>
  <si>
    <t xml:space="preserve">Dayana</t>
  </si>
  <si>
    <t xml:space="preserve">Pune</t>
  </si>
  <si>
    <t xml:space="preserve">Coffee Beans</t>
  </si>
  <si>
    <t xml:space="preserve">Beverages</t>
  </si>
  <si>
    <t xml:space="preserve">Order Status = Cancelled</t>
  </si>
  <si>
    <t xml:space="preserve">Lost sale → red</t>
  </si>
  <si>
    <t xml:space="preserve">ORD1005</t>
  </si>
  <si>
    <t xml:space="preserve">Aruna</t>
  </si>
  <si>
    <t xml:space="preserve">Bluetooth Speaker</t>
  </si>
  <si>
    <t xml:space="preserve">Audio</t>
  </si>
  <si>
    <t xml:space="preserve">Order Status = Returned</t>
  </si>
  <si>
    <t xml:space="preserve">Product / service issue → amber</t>
  </si>
  <si>
    <t xml:space="preserve">ORD1006</t>
  </si>
  <si>
    <t xml:space="preserve">Mumbai</t>
  </si>
  <si>
    <t xml:space="preserve">Denim Jacket</t>
  </si>
  <si>
    <t xml:space="preserve">Not Available</t>
  </si>
  <si>
    <t xml:space="preserve">Icon set: ↑ ≥ 4.5 · → ≥ 4 · ↓ below 4</t>
  </si>
  <si>
    <t xml:space="preserve">ORD1007</t>
  </si>
  <si>
    <t xml:space="preserve">Delhi</t>
  </si>
  <si>
    <t xml:space="preserve">Beauty</t>
  </si>
  <si>
    <t xml:space="preserve">Face Serum</t>
  </si>
  <si>
    <t xml:space="preserve">Data bars compare order size</t>
  </si>
  <si>
    <t xml:space="preserve">ORD1008</t>
  </si>
  <si>
    <t xml:space="preserve">Sireesha</t>
  </si>
  <si>
    <t xml:space="preserve">Non-Stick Pan</t>
  </si>
  <si>
    <t xml:space="preserve">Net Sales &gt; 1,800</t>
  </si>
  <si>
    <t xml:space="preserve">High-value order → green bold</t>
  </si>
  <si>
    <t xml:space="preserve">ORD1009</t>
  </si>
  <si>
    <t xml:space="preserve">Bhagya</t>
  </si>
  <si>
    <t xml:space="preserve">Power Bank</t>
  </si>
  <si>
    <t xml:space="preserve">Shipped</t>
  </si>
  <si>
    <t xml:space="preserve">Duplicate IDs flagged (data quality)</t>
  </si>
  <si>
    <t xml:space="preserve">ORD1010</t>
  </si>
  <si>
    <t xml:space="preserve">Satwika</t>
  </si>
  <si>
    <t xml:space="preserve">Olive Oil</t>
  </si>
  <si>
    <t xml:space="preserve">ORD1011</t>
  </si>
  <si>
    <t xml:space="preserve">C011</t>
  </si>
  <si>
    <t xml:space="preserve">Esther</t>
  </si>
  <si>
    <t xml:space="preserve">Handbag</t>
  </si>
  <si>
    <t xml:space="preserve">ORD1012</t>
  </si>
  <si>
    <t xml:space="preserve">C012</t>
  </si>
  <si>
    <t xml:space="preserve">Srilatha</t>
  </si>
  <si>
    <t xml:space="preserve">Smart Watch</t>
  </si>
  <si>
    <t xml:space="preserve">Wearables</t>
  </si>
  <si>
    <t xml:space="preserve">Customer growth: this year vs last year</t>
  </si>
  <si>
    <t xml:space="preserve">ORD1013</t>
  </si>
  <si>
    <t xml:space="preserve">C013</t>
  </si>
  <si>
    <t xml:space="preserve">Lathish</t>
  </si>
  <si>
    <t xml:space="preserve">Bedsheet Set</t>
  </si>
  <si>
    <t xml:space="preserve">This Year (CY)</t>
  </si>
  <si>
    <t xml:space="preserve">Last Year (LY)</t>
  </si>
  <si>
    <t xml:space="preserve">% Growth</t>
  </si>
  <si>
    <t xml:space="preserve">ORD1014</t>
  </si>
  <si>
    <t xml:space="preserve">C014</t>
  </si>
  <si>
    <t xml:space="preserve">Balu</t>
  </si>
  <si>
    <t xml:space="preserve">Green Tea</t>
  </si>
  <si>
    <t xml:space="preserve">ORD1015</t>
  </si>
  <si>
    <t xml:space="preserve">C015</t>
  </si>
  <si>
    <t xml:space="preserve">Divya</t>
  </si>
  <si>
    <t xml:space="preserve">Shampoo</t>
  </si>
  <si>
    <t xml:space="preserve">Hair Care</t>
  </si>
  <si>
    <t xml:space="preserve">ORD1016</t>
  </si>
  <si>
    <t xml:space="preserve">C016</t>
  </si>
  <si>
    <t xml:space="preserve">Kishore</t>
  </si>
  <si>
    <t xml:space="preserve">USB-C Hub</t>
  </si>
  <si>
    <t xml:space="preserve">ORD1017</t>
  </si>
  <si>
    <t xml:space="preserve">C017</t>
  </si>
  <si>
    <t xml:space="preserve">Bhanoji</t>
  </si>
  <si>
    <t xml:space="preserve">Apparel</t>
  </si>
  <si>
    <t xml:space="preserve">ORD1018</t>
  </si>
  <si>
    <t xml:space="preserve">C018</t>
  </si>
  <si>
    <t xml:space="preserve">Ganesh</t>
  </si>
  <si>
    <t xml:space="preserve">Mixer Grinder</t>
  </si>
  <si>
    <t xml:space="preserve">Appliances</t>
  </si>
  <si>
    <t xml:space="preserve">Jyothi</t>
  </si>
  <si>
    <t xml:space="preserve">ORD1019</t>
  </si>
  <si>
    <t xml:space="preserve">C019</t>
  </si>
  <si>
    <t xml:space="preserve">Yadhu</t>
  </si>
  <si>
    <t xml:space="preserve">Keyboard</t>
  </si>
  <si>
    <t xml:space="preserve">ORD1020</t>
  </si>
  <si>
    <t xml:space="preserve">C020</t>
  </si>
  <si>
    <t xml:space="preserve">Navya</t>
  </si>
  <si>
    <t xml:space="preserve">Lipstick</t>
  </si>
  <si>
    <t xml:space="preserve">Cosmetics</t>
  </si>
  <si>
    <t xml:space="preserve">ORD1021</t>
  </si>
  <si>
    <t xml:space="preserve">C021</t>
  </si>
  <si>
    <t xml:space="preserve">Thahira</t>
  </si>
  <si>
    <t xml:space="preserve">Protein Bars</t>
  </si>
  <si>
    <t xml:space="preserve">Snacks</t>
  </si>
  <si>
    <t xml:space="preserve">ORD1022</t>
  </si>
  <si>
    <t xml:space="preserve">C022</t>
  </si>
  <si>
    <t xml:space="preserve">Indu</t>
  </si>
  <si>
    <t xml:space="preserve">Kurti</t>
  </si>
  <si>
    <t xml:space="preserve">ORD1023</t>
  </si>
  <si>
    <t xml:space="preserve">C023</t>
  </si>
  <si>
    <t xml:space="preserve">Divija</t>
  </si>
  <si>
    <t xml:space="preserve">Electric Kettle</t>
  </si>
  <si>
    <t xml:space="preserve">ORD1024</t>
  </si>
  <si>
    <t xml:space="preserve">C024</t>
  </si>
  <si>
    <t xml:space="preserve">Nithin</t>
  </si>
  <si>
    <t xml:space="preserve">Earbuds</t>
  </si>
  <si>
    <t xml:space="preserve">ORD1025</t>
  </si>
  <si>
    <t xml:space="preserve">C025</t>
  </si>
  <si>
    <t xml:space="preserve">Anuhya</t>
  </si>
  <si>
    <t xml:space="preserve">Basmati Rice</t>
  </si>
  <si>
    <t xml:space="preserve">ORD1026</t>
  </si>
  <si>
    <t xml:space="preserve">C026</t>
  </si>
  <si>
    <t xml:space="preserve">Amarnath</t>
  </si>
  <si>
    <t xml:space="preserve">ORD1027</t>
  </si>
  <si>
    <t xml:space="preserve">C027</t>
  </si>
  <si>
    <t xml:space="preserve">Greeshma</t>
  </si>
  <si>
    <t xml:space="preserve">Moisturizer</t>
  </si>
  <si>
    <t xml:space="preserve">ORD1028</t>
  </si>
  <si>
    <t xml:space="preserve">C028</t>
  </si>
  <si>
    <t xml:space="preserve">Manas</t>
  </si>
  <si>
    <t xml:space="preserve">Storage Box</t>
  </si>
  <si>
    <t xml:space="preserve">ORD1029</t>
  </si>
  <si>
    <t xml:space="preserve">C029</t>
  </si>
  <si>
    <t xml:space="preserve">Harshitha</t>
  </si>
  <si>
    <t xml:space="preserve">Laptop Stand</t>
  </si>
  <si>
    <t xml:space="preserve">ORD1030</t>
  </si>
  <si>
    <t xml:space="preserve">C030</t>
  </si>
  <si>
    <t xml:space="preserve">Nishanth</t>
  </si>
  <si>
    <t xml:space="preserve">Formal Shirt</t>
  </si>
  <si>
    <t xml:space="preserve">ORD1031</t>
  </si>
  <si>
    <t xml:space="preserve">C031</t>
  </si>
  <si>
    <t xml:space="preserve">Venu</t>
  </si>
  <si>
    <t xml:space="preserve">Dry Fruits</t>
  </si>
  <si>
    <t xml:space="preserve">ORD1032</t>
  </si>
  <si>
    <t xml:space="preserve">C032</t>
  </si>
  <si>
    <t xml:space="preserve">Triveni</t>
  </si>
  <si>
    <t xml:space="preserve">Monitor</t>
  </si>
  <si>
    <t xml:space="preserve">Computers</t>
  </si>
  <si>
    <t xml:space="preserve">ORD1033</t>
  </si>
  <si>
    <t xml:space="preserve">C033</t>
  </si>
  <si>
    <t xml:space="preserve">Imran</t>
  </si>
  <si>
    <t xml:space="preserve">Backpack</t>
  </si>
  <si>
    <t xml:space="preserve">ORD1034</t>
  </si>
  <si>
    <t xml:space="preserve">C034</t>
  </si>
  <si>
    <t xml:space="preserve">Shivani</t>
  </si>
  <si>
    <t xml:space="preserve">Sunscreen</t>
  </si>
  <si>
    <t xml:space="preserve">ORD1035</t>
  </si>
  <si>
    <t xml:space="preserve">C035</t>
  </si>
  <si>
    <t xml:space="preserve">Gautham</t>
  </si>
  <si>
    <t xml:space="preserve">Toaster</t>
  </si>
  <si>
    <t xml:space="preserve">Returned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</si>
</sst>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#,##0.00"/>
    <numFmt numFmtId="167" formatCode="0.0%"/>
    <numFmt numFmtId="168" formatCode="mmm\ yyyy"/>
    <numFmt numFmtId="169" formatCode="dd\-mmm\-yyyy"/>
    <numFmt numFmtId="170" formatCode="0%"/>
    <numFmt numFmtId="171" formatCode="General"/>
    <numFmt numFmtId="172" formatCode="dd\-mmm\-yy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3864"/>
      <name val="Arial"/>
      <family val="0"/>
      <charset val="1"/>
    </font>
    <font>
      <sz val="10"/>
      <color rgb="FF595959"/>
      <name val="Arial"/>
      <family val="0"/>
      <charset val="1"/>
    </font>
    <font>
      <sz val="11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sz val="10"/>
      <color theme="1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0E7C66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1F3864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2F5FA"/>
        <bgColor rgb="FFFFFFFF"/>
      </patternFill>
    </fill>
    <fill>
      <patternFill patternType="solid">
        <fgColor rgb="FF0E7C66"/>
        <bgColor rgb="FF008080"/>
      </patternFill>
    </fill>
    <fill>
      <patternFill patternType="solid">
        <fgColor rgb="FFDDE4EE"/>
        <bgColor rgb="FFDDEBF7"/>
      </patternFill>
    </fill>
    <fill>
      <patternFill patternType="solid">
        <fgColor rgb="FFFFF2CC"/>
        <bgColor rgb="FFFFEB9C"/>
      </patternFill>
    </fill>
    <fill>
      <patternFill patternType="solid">
        <fgColor rgb="FFDDEBF7"/>
        <bgColor rgb="FFDDE4EE"/>
      </patternFill>
    </fill>
    <fill>
      <patternFill patternType="solid">
        <fgColor rgb="FFFFC7CE"/>
        <bgColor rgb="FFD9D9D9"/>
      </patternFill>
    </fill>
    <fill>
      <patternFill patternType="solid">
        <fgColor rgb="FFFFEB9C"/>
        <bgColor rgb="FFFFF2CC"/>
      </patternFill>
    </fill>
    <fill>
      <patternFill patternType="solid">
        <fgColor rgb="FFC6EFCE"/>
        <bgColor rgb="FFDDE4EE"/>
      </patternFill>
    </fill>
    <fill>
      <patternFill patternType="solid">
        <fgColor rgb="FFF4B084"/>
        <bgColor rgb="FFFFC7CE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  <border diagonalUp="false" diagonalDown="false">
      <left style="thin">
        <color rgb="FFD0D7E2"/>
      </left>
      <right/>
      <top style="thin">
        <color rgb="FFD0D7E2"/>
      </top>
      <bottom style="thin">
        <color rgb="FFD0D7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2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E7C66"/>
          <bgColor rgb="FF000000"/>
        </patternFill>
      </fill>
    </dxf>
    <dxf>
      <font>
        <name val="Arial"/>
        <charset val="1"/>
        <family val="0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b val="1"/>
      </font>
      <fill>
        <patternFill>
          <bgColor rgb="FFDDEBF7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9C570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006100"/>
      </font>
    </dxf>
    <dxf>
      <fill>
        <patternFill>
          <bgColor rgb="FFF4B084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548235"/>
      <rgbColor rgb="FF800080"/>
      <rgbColor rgb="FF0E7C66"/>
      <rgbColor rgb="FFD9D9D9"/>
      <rgbColor rgb="FF7F7F7F"/>
      <rgbColor rgb="FF9999FF"/>
      <rgbColor rgb="FF7030A0"/>
      <rgbColor rgb="FFFFF2CC"/>
      <rgbColor rgb="FFDDEBF7"/>
      <rgbColor rgb="FF660066"/>
      <rgbColor rgb="FFFF8080"/>
      <rgbColor rgb="FF0563C1"/>
      <rgbColor rgb="FFD0D7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5FA"/>
      <rgbColor rgb="FFC6EFCE"/>
      <rgbColor rgb="FFFFEB9C"/>
      <rgbColor rgb="FFDDE4EE"/>
      <rgbColor rgb="FFF4B084"/>
      <rgbColor rgb="FFCC99FF"/>
      <rgbColor rgb="FFFFC7CE"/>
      <rgbColor rgb="FF2E75B6"/>
      <rgbColor rgb="FF70AD47"/>
      <rgbColor rgb="FF9BBB59"/>
      <rgbColor rgb="FFFFCC00"/>
      <rgbColor rgb="FFBF8F00"/>
      <rgbColor rgb="FFED7D31"/>
      <rgbColor rgb="FF8064A2"/>
      <rgbColor rgb="FF878787"/>
      <rgbColor rgb="FF1F3864"/>
      <rgbColor rgb="FF4F81BD"/>
      <rgbColor rgb="FF003300"/>
      <rgbColor rgb="FF333300"/>
      <rgbColor rgb="FF9C5700"/>
      <rgbColor rgb="FFC0504D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1f3864"/>
            </a:solidFill>
            <a:ln w="9360">
              <a:solidFill>
                <a:srgbClr val="1f3864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Dashboard!$B$10:$B$13</c:f>
              <c:strCache>
                <c:ptCount val="4"/>
                <c:pt idx="0">
                  <c:v>Electronics</c:v>
                </c:pt>
                <c:pt idx="1">
                  <c:v>Home</c:v>
                </c:pt>
                <c:pt idx="2">
                  <c:v>Baby</c:v>
                </c:pt>
                <c:pt idx="3">
                  <c:v>Fashion</c:v>
                </c:pt>
              </c:strCache>
            </c:strRef>
          </c:cat>
          <c:val>
            <c:numRef>
              <c:f>Dashboard!$C$10:$C$13</c:f>
              <c:numCache>
                <c:formatCode>#,##0</c:formatCode>
                <c:ptCount val="4"/>
                <c:pt idx="0">
                  <c:v>26943.5</c:v>
                </c:pt>
                <c:pt idx="1">
                  <c:v>14743.25</c:v>
                </c:pt>
                <c:pt idx="2">
                  <c:v>8877.25</c:v>
                </c:pt>
                <c:pt idx="3">
                  <c:v>6488</c:v>
                </c:pt>
              </c:numCache>
            </c:numRef>
          </c:val>
        </c:ser>
        <c:gapWidth val="150"/>
        <c:overlap val="0"/>
        <c:axId val="16359124"/>
        <c:axId val="15880424"/>
      </c:barChart>
      <c:catAx>
        <c:axId val="163591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880424"/>
        <c:crosses val="autoZero"/>
        <c:auto val="1"/>
        <c:lblAlgn val="ctr"/>
        <c:lblOffset val="100"/>
        <c:noMultiLvlLbl val="0"/>
      </c:catAx>
      <c:valAx>
        <c:axId val="15880424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35912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Share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0"/>
          </c:dLbls>
          <c:cat>
            <c:strRef>
              <c:f>Dashboard!$G$10:$G$13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South</c:v>
                </c:pt>
                <c:pt idx="3">
                  <c:v>North</c:v>
                </c:pt>
              </c:strCache>
            </c:strRef>
          </c:cat>
          <c:val>
            <c:numRef>
              <c:f>Dashboard!$H$10:$H$13</c:f>
              <c:numCache>
                <c:formatCode>#,##0</c:formatCode>
                <c:ptCount val="4"/>
                <c:pt idx="0">
                  <c:v>17327</c:v>
                </c:pt>
                <c:pt idx="1">
                  <c:v>16635.75</c:v>
                </c:pt>
                <c:pt idx="2">
                  <c:v>15732.25</c:v>
                </c:pt>
                <c:pt idx="3">
                  <c:v>7357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0e7c66"/>
            </a:solidFill>
            <a:ln w="28080">
              <a:solidFill>
                <a:srgbClr val="0e7c6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Dashboard!$B$25:$B$30</c:f>
              <c:strCache>
                <c:ptCount val="6"/>
                <c:pt idx="0">
                  <c:v>Jan 2026</c:v>
                </c:pt>
                <c:pt idx="1">
                  <c:v>Feb 2026</c:v>
                </c:pt>
                <c:pt idx="2">
                  <c:v>Mar 2026</c:v>
                </c:pt>
                <c:pt idx="3">
                  <c:v>Apr 2026</c:v>
                </c:pt>
                <c:pt idx="4">
                  <c:v>May 2026</c:v>
                </c:pt>
                <c:pt idx="5">
                  <c:v>Jun 2026</c:v>
                </c:pt>
              </c:strCache>
            </c:strRef>
          </c:cat>
          <c:val>
            <c:numRef>
              <c:f>Dashboard!$C$25:$C$30</c:f>
              <c:numCache>
                <c:formatCode>#,##0</c:formatCode>
                <c:ptCount val="6"/>
                <c:pt idx="0">
                  <c:v>11372</c:v>
                </c:pt>
                <c:pt idx="1">
                  <c:v>12513</c:v>
                </c:pt>
                <c:pt idx="2">
                  <c:v>6254.25</c:v>
                </c:pt>
                <c:pt idx="3">
                  <c:v>8361</c:v>
                </c:pt>
                <c:pt idx="4">
                  <c:v>12349.75</c:v>
                </c:pt>
                <c:pt idx="5">
                  <c:v>6202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1759591"/>
        <c:axId val="67528614"/>
      </c:lineChart>
      <c:catAx>
        <c:axId val="71759591"/>
        <c:scaling>
          <c:orientation val="minMax"/>
        </c:scaling>
        <c:delete val="0"/>
        <c:axPos val="b"/>
        <c:numFmt formatCode="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528614"/>
        <c:crosses val="autoZero"/>
        <c:auto val="1"/>
        <c:lblAlgn val="ctr"/>
        <c:lblOffset val="100"/>
        <c:noMultiLvlLbl val="0"/>
      </c:catAx>
      <c:valAx>
        <c:axId val="675286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75959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0e7c66"/>
            </a:solidFill>
            <a:ln w="9360">
              <a:solidFill>
                <a:srgbClr val="0e7c66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Dashboard!$G$25:$G$36</c:f>
              <c:strCache>
                <c:ptCount val="12"/>
                <c:pt idx="0">
                  <c:v>Laptop</c:v>
                </c:pt>
                <c:pt idx="1">
                  <c:v>Dining Table</c:v>
                </c:pt>
                <c:pt idx="2">
                  <c:v>Smartphone</c:v>
                </c:pt>
                <c:pt idx="3">
                  <c:v>Baby Stroller</c:v>
                </c:pt>
                <c:pt idx="4">
                  <c:v>Sofa</c:v>
                </c:pt>
                <c:pt idx="5">
                  <c:v>Sneakers</c:v>
                </c:pt>
                <c:pt idx="6">
                  <c:v>Headphones</c:v>
                </c:pt>
                <c:pt idx="7">
                  <c:v>Jeans</c:v>
                </c:pt>
                <c:pt idx="8">
                  <c:v>Cookware Set</c:v>
                </c:pt>
                <c:pt idx="9">
                  <c:v>Baby Shoes</c:v>
                </c:pt>
                <c:pt idx="10">
                  <c:v>Diapers</c:v>
                </c:pt>
                <c:pt idx="11">
                  <c:v>T-Shirt</c:v>
                </c:pt>
              </c:strCache>
            </c:strRef>
          </c:cat>
          <c:val>
            <c:numRef>
              <c:f>Dashboard!$H$25:$H$36</c:f>
              <c:numCache>
                <c:formatCode>#,##0</c:formatCode>
                <c:ptCount val="12"/>
                <c:pt idx="0">
                  <c:v>17192.5</c:v>
                </c:pt>
                <c:pt idx="1">
                  <c:v>7798</c:v>
                </c:pt>
                <c:pt idx="2">
                  <c:v>7035</c:v>
                </c:pt>
                <c:pt idx="3">
                  <c:v>6516</c:v>
                </c:pt>
                <c:pt idx="4">
                  <c:v>5145</c:v>
                </c:pt>
                <c:pt idx="5">
                  <c:v>3062.5</c:v>
                </c:pt>
                <c:pt idx="6">
                  <c:v>2716</c:v>
                </c:pt>
                <c:pt idx="7">
                  <c:v>2448</c:v>
                </c:pt>
                <c:pt idx="8">
                  <c:v>1800.25</c:v>
                </c:pt>
                <c:pt idx="9">
                  <c:v>1278</c:v>
                </c:pt>
                <c:pt idx="10">
                  <c:v>1083.25</c:v>
                </c:pt>
                <c:pt idx="11">
                  <c:v>977.5</c:v>
                </c:pt>
              </c:numCache>
            </c:numRef>
          </c:val>
        </c:ser>
        <c:gapWidth val="150"/>
        <c:overlap val="0"/>
        <c:axId val="80859210"/>
        <c:axId val="45984223"/>
      </c:barChart>
      <c:catAx>
        <c:axId val="8085921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984223"/>
        <c:crosses val="autoZero"/>
        <c:auto val="1"/>
        <c:lblAlgn val="ctr"/>
        <c:lblOffset val="100"/>
        <c:noMultiLvlLbl val="0"/>
      </c:catAx>
      <c:valAx>
        <c:axId val="45984223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859210"/>
        <c:crosses val="autoZero"/>
        <c:crossBetween val="between"/>
        <c:majorUnit val="5000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0</xdr:colOff>
      <xdr:row>2</xdr:row>
      <xdr:rowOff>0</xdr:rowOff>
    </xdr:from>
    <xdr:to>
      <xdr:col>19</xdr:col>
      <xdr:colOff>399240</xdr:colOff>
      <xdr:row>14</xdr:row>
      <xdr:rowOff>115200</xdr:rowOff>
    </xdr:to>
    <xdr:graphicFrame>
      <xdr:nvGraphicFramePr>
        <xdr:cNvPr id="0" name="Chart 1"/>
        <xdr:cNvGraphicFramePr/>
      </xdr:nvGraphicFramePr>
      <xdr:xfrm>
        <a:off x="8105760" y="495360"/>
        <a:ext cx="467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0</xdr:colOff>
      <xdr:row>17</xdr:row>
      <xdr:rowOff>0</xdr:rowOff>
    </xdr:from>
    <xdr:to>
      <xdr:col>19</xdr:col>
      <xdr:colOff>399240</xdr:colOff>
      <xdr:row>30</xdr:row>
      <xdr:rowOff>115200</xdr:rowOff>
    </xdr:to>
    <xdr:graphicFrame>
      <xdr:nvGraphicFramePr>
        <xdr:cNvPr id="1" name="Chart 2"/>
        <xdr:cNvGraphicFramePr/>
      </xdr:nvGraphicFramePr>
      <xdr:xfrm>
        <a:off x="8105760" y="3543480"/>
        <a:ext cx="467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0</xdr:colOff>
      <xdr:row>32</xdr:row>
      <xdr:rowOff>0</xdr:rowOff>
    </xdr:from>
    <xdr:to>
      <xdr:col>19</xdr:col>
      <xdr:colOff>399240</xdr:colOff>
      <xdr:row>45</xdr:row>
      <xdr:rowOff>115200</xdr:rowOff>
    </xdr:to>
    <xdr:graphicFrame>
      <xdr:nvGraphicFramePr>
        <xdr:cNvPr id="2" name="Chart 3"/>
        <xdr:cNvGraphicFramePr/>
      </xdr:nvGraphicFramePr>
      <xdr:xfrm>
        <a:off x="8105760" y="6400800"/>
        <a:ext cx="467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12</xdr:col>
      <xdr:colOff>0</xdr:colOff>
      <xdr:row>47</xdr:row>
      <xdr:rowOff>0</xdr:rowOff>
    </xdr:from>
    <xdr:to>
      <xdr:col>19</xdr:col>
      <xdr:colOff>399240</xdr:colOff>
      <xdr:row>63</xdr:row>
      <xdr:rowOff>11880</xdr:rowOff>
    </xdr:to>
    <xdr:graphicFrame>
      <xdr:nvGraphicFramePr>
        <xdr:cNvPr id="3" name="Chart 4"/>
        <xdr:cNvGraphicFramePr/>
      </xdr:nvGraphicFramePr>
      <xdr:xfrm>
        <a:off x="8105760" y="9258480"/>
        <a:ext cx="467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RetailOrders" displayName="RetailOrders" ref="A1:L151" headerRowCount="1" totalsRowCount="0" totalsRowShown="0">
  <autoFilter ref="A1:L151"/>
  <tableColumns count="12">
    <tableColumn id="1" name="Order_ID"/>
    <tableColumn id="2" name="Order_Date"/>
    <tableColumn id="3" name="Product"/>
    <tableColumn id="4" name="Category"/>
    <tableColumn id="5" name="Region"/>
    <tableColumn id="6" name="Channel"/>
    <tableColumn id="7" name="Customer_Segment"/>
    <tableColumn id="8" name="Units"/>
    <tableColumn id="9" name="Unit_Price"/>
    <tableColumn id="10" name="Discount_Pct"/>
    <tableColumn id="11" name="Revenue"/>
    <tableColumn id="12" name="Payment_Metho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B2:F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24"/>
    <col collapsed="false" customWidth="true" hidden="false" outlineLevel="0" max="4" min="4" style="0" width="58"/>
    <col collapsed="false" customWidth="true" hidden="false" outlineLevel="0" max="5" min="5" style="0" width="42"/>
    <col collapsed="false" customWidth="true" hidden="false" outlineLevel="0" max="6" min="6" style="0" width="4"/>
  </cols>
  <sheetData>
    <row r="2" customFormat="false" ht="24.4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21.75" hidden="false" customHeight="true" outlineLevel="0" collapsed="false">
      <c r="B5" s="3" t="s">
        <v>2</v>
      </c>
      <c r="C5" s="3"/>
      <c r="D5" s="3"/>
      <c r="E5" s="3"/>
      <c r="F5" s="3"/>
    </row>
    <row r="6" customFormat="false" ht="21.75" hidden="false" customHeight="true" outlineLevel="0" collapsed="false">
      <c r="B6" s="3"/>
      <c r="C6" s="3"/>
      <c r="D6" s="3"/>
      <c r="E6" s="3"/>
      <c r="F6" s="3"/>
    </row>
    <row r="7" customFormat="false" ht="21.75" hidden="false" customHeight="true" outlineLevel="0" collapsed="false">
      <c r="B7" s="3"/>
      <c r="C7" s="3"/>
      <c r="D7" s="3"/>
      <c r="E7" s="3"/>
      <c r="F7" s="3"/>
    </row>
    <row r="9" customFormat="false" ht="16.15" hidden="false" customHeight="false" outlineLevel="0" collapsed="false">
      <c r="B9" s="4" t="s">
        <v>3</v>
      </c>
    </row>
    <row r="10" customFormat="false" ht="15" hidden="false" customHeight="false" outlineLevel="0" collapsed="false">
      <c r="B10" s="5" t="s">
        <v>4</v>
      </c>
      <c r="C10" s="5" t="s">
        <v>5</v>
      </c>
      <c r="D10" s="5" t="s">
        <v>6</v>
      </c>
      <c r="E10" s="5" t="s">
        <v>7</v>
      </c>
    </row>
    <row r="11" customFormat="false" ht="15" hidden="false" customHeight="false" outlineLevel="0" collapsed="false">
      <c r="B11" s="6" t="n">
        <v>1</v>
      </c>
      <c r="C11" s="7" t="s">
        <v>8</v>
      </c>
      <c r="D11" s="6" t="s">
        <v>9</v>
      </c>
      <c r="E11" s="6" t="s">
        <v>10</v>
      </c>
    </row>
    <row r="12" customFormat="false" ht="15" hidden="false" customHeight="false" outlineLevel="0" collapsed="false">
      <c r="B12" s="8" t="n">
        <v>2</v>
      </c>
      <c r="C12" s="9" t="s">
        <v>11</v>
      </c>
      <c r="D12" s="8" t="s">
        <v>12</v>
      </c>
      <c r="E12" s="8" t="s">
        <v>13</v>
      </c>
    </row>
    <row r="13" customFormat="false" ht="15" hidden="false" customHeight="false" outlineLevel="0" collapsed="false">
      <c r="B13" s="6" t="n">
        <v>3</v>
      </c>
      <c r="C13" s="7" t="s">
        <v>14</v>
      </c>
      <c r="D13" s="6" t="s">
        <v>15</v>
      </c>
      <c r="E13" s="6" t="s">
        <v>16</v>
      </c>
    </row>
    <row r="14" customFormat="false" ht="15" hidden="false" customHeight="false" outlineLevel="0" collapsed="false">
      <c r="B14" s="8" t="n">
        <v>4</v>
      </c>
      <c r="C14" s="9" t="s">
        <v>17</v>
      </c>
      <c r="D14" s="8" t="s">
        <v>18</v>
      </c>
      <c r="E14" s="8" t="s">
        <v>19</v>
      </c>
    </row>
    <row r="15" customFormat="false" ht="15" hidden="false" customHeight="false" outlineLevel="0" collapsed="false">
      <c r="B15" s="6" t="n">
        <v>5</v>
      </c>
      <c r="C15" s="7" t="s">
        <v>20</v>
      </c>
      <c r="D15" s="6" t="s">
        <v>21</v>
      </c>
      <c r="E15" s="6" t="s">
        <v>22</v>
      </c>
    </row>
    <row r="16" customFormat="false" ht="15" hidden="false" customHeight="false" outlineLevel="0" collapsed="false">
      <c r="B16" s="8" t="n">
        <v>6</v>
      </c>
      <c r="C16" s="9" t="s">
        <v>23</v>
      </c>
      <c r="D16" s="8" t="s">
        <v>24</v>
      </c>
      <c r="E16" s="8" t="s">
        <v>25</v>
      </c>
    </row>
    <row r="17" customFormat="false" ht="15" hidden="false" customHeight="false" outlineLevel="0" collapsed="false">
      <c r="B17" s="6" t="n">
        <v>7</v>
      </c>
      <c r="C17" s="7" t="s">
        <v>26</v>
      </c>
      <c r="D17" s="6" t="s">
        <v>27</v>
      </c>
      <c r="E17" s="6" t="s">
        <v>28</v>
      </c>
    </row>
    <row r="18" customFormat="false" ht="15" hidden="false" customHeight="false" outlineLevel="0" collapsed="false">
      <c r="B18" s="8" t="n">
        <v>8</v>
      </c>
      <c r="C18" s="9" t="s">
        <v>29</v>
      </c>
      <c r="D18" s="8" t="s">
        <v>30</v>
      </c>
      <c r="E18" s="8" t="s">
        <v>31</v>
      </c>
    </row>
    <row r="20" customFormat="false" ht="16.15" hidden="false" customHeight="false" outlineLevel="0" collapsed="false">
      <c r="B20" s="4" t="s">
        <v>32</v>
      </c>
    </row>
    <row r="21" customFormat="false" ht="27.75" hidden="false" customHeight="true" outlineLevel="0" collapsed="false">
      <c r="B21" s="10" t="s">
        <v>33</v>
      </c>
      <c r="C21" s="11" t="s">
        <v>34</v>
      </c>
      <c r="D21" s="11"/>
      <c r="E21" s="11"/>
    </row>
    <row r="22" customFormat="false" ht="27.75" hidden="false" customHeight="true" outlineLevel="0" collapsed="false">
      <c r="B22" s="10" t="s">
        <v>33</v>
      </c>
      <c r="C22" s="11" t="s">
        <v>35</v>
      </c>
      <c r="D22" s="11"/>
      <c r="E22" s="11"/>
    </row>
    <row r="23" customFormat="false" ht="27.75" hidden="false" customHeight="true" outlineLevel="0" collapsed="false">
      <c r="B23" s="10" t="s">
        <v>33</v>
      </c>
      <c r="C23" s="11" t="s">
        <v>36</v>
      </c>
      <c r="D23" s="11"/>
      <c r="E23" s="11"/>
    </row>
    <row r="24" customFormat="false" ht="27.75" hidden="false" customHeight="true" outlineLevel="0" collapsed="false">
      <c r="B24" s="10" t="s">
        <v>33</v>
      </c>
      <c r="C24" s="11" t="s">
        <v>37</v>
      </c>
      <c r="D24" s="11"/>
      <c r="E24" s="11"/>
    </row>
    <row r="26" customFormat="false" ht="16.15" hidden="false" customHeight="false" outlineLevel="0" collapsed="false">
      <c r="B26" s="4" t="s">
        <v>38</v>
      </c>
    </row>
    <row r="27" customFormat="false" ht="15" hidden="false" customHeight="false" outlineLevel="0" collapsed="false">
      <c r="C27" s="12" t="s">
        <v>39</v>
      </c>
    </row>
    <row r="28" customFormat="false" ht="15" hidden="false" customHeight="false" outlineLevel="0" collapsed="false">
      <c r="C28" s="12" t="s">
        <v>40</v>
      </c>
    </row>
    <row r="29" customFormat="false" ht="15" hidden="false" customHeight="false" outlineLevel="0" collapsed="false">
      <c r="C29" s="12" t="s">
        <v>41</v>
      </c>
    </row>
  </sheetData>
  <mergeCells count="5">
    <mergeCell ref="B5:F7"/>
    <mergeCell ref="C21:E21"/>
    <mergeCell ref="C22:E22"/>
    <mergeCell ref="C23:E23"/>
    <mergeCell ref="C24:E24"/>
  </mergeCells>
  <hyperlinks>
    <hyperlink ref="C11" location="'Dashboard'!A1" display="Dashboard"/>
    <hyperlink ref="C12" location="'Retail_Data'!A1" display="Retail_Data"/>
    <hyperlink ref="C13" location="'Cell_References'!A1" display="Cell_References"/>
    <hyperlink ref="C14" location="'IF_Logic'!A1" display="IF_Logic"/>
    <hyperlink ref="C15" location="'Nested_IF'!A1" display="Nested_IF"/>
    <hyperlink ref="C16" location="'SUMIF_COUNTIF'!A1" display="SUMIF_COUNTIF"/>
    <hyperlink ref="C17" location="'Text_Functions'!A1" display="Text_Functions"/>
    <hyperlink ref="C18" location="'Conditional_Formatting'!A1" display="Conditional_Formatting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A1:K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5"/>
    <col collapsed="false" customWidth="true" hidden="false" outlineLevel="0" max="3" min="3" style="0" width="12"/>
    <col collapsed="false" customWidth="true" hidden="false" outlineLevel="0" max="5" min="4" style="0" width="10"/>
    <col collapsed="false" customWidth="true" hidden="false" outlineLevel="0" max="6" min="6" style="0" width="3"/>
    <col collapsed="false" customWidth="true" hidden="false" outlineLevel="0" max="7" min="7" style="0" width="16"/>
    <col collapsed="false" customWidth="true" hidden="false" outlineLevel="0" max="8" min="8" style="0" width="12"/>
    <col collapsed="false" customWidth="true" hidden="false" outlineLevel="0" max="10" min="9" style="0" width="10"/>
    <col collapsed="false" customWidth="true" hidden="false" outlineLevel="0" max="11" min="11" style="0" width="12"/>
    <col collapsed="false" customWidth="true" hidden="false" outlineLevel="0" max="12" min="12" style="0" width="3"/>
  </cols>
  <sheetData>
    <row r="1" customFormat="false" ht="24" hidden="false" customHeight="true" outlineLevel="0" collapsed="false">
      <c r="A1" s="13" t="s">
        <v>42</v>
      </c>
    </row>
    <row r="2" customFormat="false" ht="15" hidden="false" customHeight="false" outlineLevel="0" collapsed="false">
      <c r="A2" s="14" t="s">
        <v>43</v>
      </c>
    </row>
    <row r="3" customFormat="false" ht="15" hidden="false" customHeight="false" outlineLevel="0" collapsed="false">
      <c r="A3" s="15" t="s">
        <v>44</v>
      </c>
    </row>
    <row r="5" customFormat="false" ht="15" hidden="false" customHeight="false" outlineLevel="0" collapsed="false">
      <c r="B5" s="16" t="s">
        <v>45</v>
      </c>
      <c r="C5" s="16"/>
      <c r="D5" s="16" t="s">
        <v>46</v>
      </c>
      <c r="E5" s="16"/>
      <c r="F5" s="16" t="s">
        <v>47</v>
      </c>
      <c r="G5" s="16"/>
      <c r="H5" s="16" t="s">
        <v>48</v>
      </c>
      <c r="I5" s="16"/>
      <c r="J5" s="16" t="s">
        <v>49</v>
      </c>
      <c r="K5" s="16"/>
    </row>
    <row r="6" customFormat="false" ht="30" hidden="false" customHeight="true" outlineLevel="0" collapsed="false">
      <c r="B6" s="17" t="n">
        <f aca="false">SUM(Retail_Data!$K$2:$K$151)</f>
        <v>57052</v>
      </c>
      <c r="C6" s="17"/>
      <c r="D6" s="17" t="n">
        <f aca="false">COUNTA(Retail_Data!$A$2:$A$151)</f>
        <v>150</v>
      </c>
      <c r="E6" s="17"/>
      <c r="F6" s="17" t="n">
        <f aca="false">SUM(Retail_Data!$H$2:$H$151)</f>
        <v>428</v>
      </c>
      <c r="G6" s="17"/>
      <c r="H6" s="18" t="n">
        <f aca="false">B6/D6</f>
        <v>380.346666666667</v>
      </c>
      <c r="I6" s="18"/>
      <c r="J6" s="19" t="n">
        <f aca="false">AVERAGE(Retail_Data!$J$2:$J$151)</f>
        <v>0.098</v>
      </c>
      <c r="K6" s="19"/>
    </row>
    <row r="8" customFormat="false" ht="15" hidden="false" customHeight="false" outlineLevel="0" collapsed="false">
      <c r="B8" s="20" t="s">
        <v>50</v>
      </c>
      <c r="G8" s="20" t="s">
        <v>51</v>
      </c>
    </row>
    <row r="9" customFormat="false" ht="15" hidden="false" customHeight="false" outlineLevel="0" collapsed="false">
      <c r="B9" s="5" t="s">
        <v>52</v>
      </c>
      <c r="C9" s="21" t="s">
        <v>53</v>
      </c>
      <c r="D9" s="21" t="s">
        <v>46</v>
      </c>
      <c r="E9" s="21" t="s">
        <v>54</v>
      </c>
      <c r="G9" s="5" t="s">
        <v>55</v>
      </c>
      <c r="H9" s="21" t="s">
        <v>53</v>
      </c>
      <c r="I9" s="21" t="s">
        <v>46</v>
      </c>
      <c r="J9" s="21" t="s">
        <v>54</v>
      </c>
    </row>
    <row r="10" customFormat="false" ht="15" hidden="false" customHeight="false" outlineLevel="0" collapsed="false">
      <c r="B10" s="6" t="s">
        <v>56</v>
      </c>
      <c r="C10" s="22" t="n">
        <f aca="false">SUMIFS(Retail_Data!$K$2:$K$151,Retail_Data!$D$2:$D$151,$B10)</f>
        <v>26943.5</v>
      </c>
      <c r="D10" s="6" t="n">
        <f aca="false">COUNTIFS(Retail_Data!$D$2:$D$151,$B10)</f>
        <v>35</v>
      </c>
      <c r="E10" s="23" t="n">
        <f aca="false">C10/$B$6</f>
        <v>0.472262146813433</v>
      </c>
      <c r="G10" s="6" t="s">
        <v>57</v>
      </c>
      <c r="H10" s="22" t="n">
        <f aca="false">SUMIFS(Retail_Data!$K$2:$K$151,Retail_Data!$E$2:$E$151,$G10)</f>
        <v>17327</v>
      </c>
      <c r="I10" s="6" t="n">
        <f aca="false">COUNTIFS(Retail_Data!$E$2:$E$151,$G10)</f>
        <v>41</v>
      </c>
      <c r="J10" s="23" t="n">
        <f aca="false">H10/$B$6</f>
        <v>0.3037053915726</v>
      </c>
    </row>
    <row r="11" customFormat="false" ht="15" hidden="false" customHeight="false" outlineLevel="0" collapsed="false">
      <c r="B11" s="8" t="s">
        <v>58</v>
      </c>
      <c r="C11" s="24" t="n">
        <f aca="false">SUMIFS(Retail_Data!$K$2:$K$151,Retail_Data!$D$2:$D$151,$B11)</f>
        <v>14743.25</v>
      </c>
      <c r="D11" s="8" t="n">
        <f aca="false">COUNTIFS(Retail_Data!$D$2:$D$151,$B11)</f>
        <v>24</v>
      </c>
      <c r="E11" s="25" t="n">
        <f aca="false">C11/$B$6</f>
        <v>0.258417759237187</v>
      </c>
      <c r="G11" s="8" t="s">
        <v>59</v>
      </c>
      <c r="H11" s="24" t="n">
        <f aca="false">SUMIFS(Retail_Data!$K$2:$K$151,Retail_Data!$E$2:$E$151,$G11)</f>
        <v>16635.75</v>
      </c>
      <c r="I11" s="8" t="n">
        <f aca="false">COUNTIFS(Retail_Data!$E$2:$E$151,$G11)</f>
        <v>38</v>
      </c>
      <c r="J11" s="25" t="n">
        <f aca="false">H11/$B$6</f>
        <v>0.291589251910538</v>
      </c>
    </row>
    <row r="12" customFormat="false" ht="15" hidden="false" customHeight="false" outlineLevel="0" collapsed="false">
      <c r="B12" s="6" t="s">
        <v>60</v>
      </c>
      <c r="C12" s="22" t="n">
        <f aca="false">SUMIFS(Retail_Data!$K$2:$K$151,Retail_Data!$D$2:$D$151,$B12)</f>
        <v>8877.25</v>
      </c>
      <c r="D12" s="6" t="n">
        <f aca="false">COUNTIFS(Retail_Data!$D$2:$D$151,$B12)</f>
        <v>44</v>
      </c>
      <c r="E12" s="23" t="n">
        <f aca="false">C12/$B$6</f>
        <v>0.155599277851784</v>
      </c>
      <c r="G12" s="6" t="s">
        <v>61</v>
      </c>
      <c r="H12" s="22" t="n">
        <f aca="false">SUMIFS(Retail_Data!$K$2:$K$151,Retail_Data!$E$2:$E$151,$G12)</f>
        <v>15732.25</v>
      </c>
      <c r="I12" s="6" t="n">
        <f aca="false">COUNTIFS(Retail_Data!$E$2:$E$151,$G12)</f>
        <v>39</v>
      </c>
      <c r="J12" s="23" t="n">
        <f aca="false">H12/$B$6</f>
        <v>0.275752821986959</v>
      </c>
    </row>
    <row r="13" customFormat="false" ht="15" hidden="false" customHeight="false" outlineLevel="0" collapsed="false">
      <c r="B13" s="8" t="s">
        <v>62</v>
      </c>
      <c r="C13" s="24" t="n">
        <f aca="false">SUMIFS(Retail_Data!$K$2:$K$151,Retail_Data!$D$2:$D$151,$B13)</f>
        <v>6488</v>
      </c>
      <c r="D13" s="8" t="n">
        <f aca="false">COUNTIFS(Retail_Data!$D$2:$D$151,$B13)</f>
        <v>47</v>
      </c>
      <c r="E13" s="25" t="n">
        <f aca="false">C13/$B$6</f>
        <v>0.113720816097595</v>
      </c>
      <c r="G13" s="8" t="s">
        <v>63</v>
      </c>
      <c r="H13" s="24" t="n">
        <f aca="false">SUMIFS(Retail_Data!$K$2:$K$151,Retail_Data!$E$2:$E$151,$G13)</f>
        <v>7357</v>
      </c>
      <c r="I13" s="8" t="n">
        <f aca="false">COUNTIFS(Retail_Data!$E$2:$E$151,$G13)</f>
        <v>32</v>
      </c>
      <c r="J13" s="25" t="n">
        <f aca="false">H13/$B$6</f>
        <v>0.128952534529903</v>
      </c>
    </row>
    <row r="14" customFormat="false" ht="15" hidden="false" customHeight="false" outlineLevel="0" collapsed="false">
      <c r="B14" s="26" t="s">
        <v>64</v>
      </c>
      <c r="C14" s="27" t="n">
        <f aca="false">SUM(C10:C13)</f>
        <v>57052</v>
      </c>
      <c r="D14" s="26" t="n">
        <f aca="false">SUM(D10:D13)</f>
        <v>150</v>
      </c>
      <c r="E14" s="28" t="n">
        <f aca="false">SUM(E10:E13)</f>
        <v>1</v>
      </c>
      <c r="G14" s="26" t="s">
        <v>64</v>
      </c>
      <c r="H14" s="27" t="n">
        <f aca="false">SUM(H10:H13)</f>
        <v>57052</v>
      </c>
      <c r="I14" s="26" t="n">
        <f aca="false">SUM(I10:I13)</f>
        <v>150</v>
      </c>
      <c r="J14" s="28" t="n">
        <f aca="false">SUM(J10:J13)</f>
        <v>1</v>
      </c>
    </row>
    <row r="16" customFormat="false" ht="15" hidden="false" customHeight="false" outlineLevel="0" collapsed="false">
      <c r="B16" s="20" t="s">
        <v>65</v>
      </c>
      <c r="G16" s="20" t="s">
        <v>66</v>
      </c>
    </row>
    <row r="17" customFormat="false" ht="15" hidden="false" customHeight="false" outlineLevel="0" collapsed="false">
      <c r="B17" s="5" t="s">
        <v>67</v>
      </c>
      <c r="C17" s="21" t="s">
        <v>53</v>
      </c>
      <c r="D17" s="21" t="s">
        <v>46</v>
      </c>
      <c r="E17" s="21" t="s">
        <v>54</v>
      </c>
      <c r="G17" s="5" t="s">
        <v>68</v>
      </c>
      <c r="H17" s="21" t="s">
        <v>53</v>
      </c>
      <c r="I17" s="21" t="s">
        <v>46</v>
      </c>
      <c r="J17" s="21" t="s">
        <v>54</v>
      </c>
    </row>
    <row r="18" customFormat="false" ht="15" hidden="false" customHeight="false" outlineLevel="0" collapsed="false">
      <c r="B18" s="6" t="s">
        <v>69</v>
      </c>
      <c r="C18" s="22" t="n">
        <f aca="false">SUMIFS(Retail_Data!$K$2:$K$151,Retail_Data!$F$2:$F$151,$B18)</f>
        <v>21792.5</v>
      </c>
      <c r="D18" s="6" t="n">
        <f aca="false">COUNTIFS(Retail_Data!$F$2:$F$151,$B18)</f>
        <v>65</v>
      </c>
      <c r="E18" s="23" t="n">
        <f aca="false">C18/$B$6</f>
        <v>0.381976091986258</v>
      </c>
      <c r="G18" s="6" t="s">
        <v>70</v>
      </c>
      <c r="H18" s="22" t="n">
        <f aca="false">SUMIFS(Retail_Data!$K$2:$K$151,Retail_Data!$G$2:$G$151,$G18)</f>
        <v>29128.75</v>
      </c>
      <c r="I18" s="6" t="n">
        <f aca="false">COUNTIFS(Retail_Data!$G$2:$G$151,$G18)</f>
        <v>60</v>
      </c>
      <c r="J18" s="23" t="n">
        <f aca="false">H18/$B$6</f>
        <v>0.510564923227933</v>
      </c>
    </row>
    <row r="19" customFormat="false" ht="15" hidden="false" customHeight="false" outlineLevel="0" collapsed="false">
      <c r="B19" s="8" t="s">
        <v>71</v>
      </c>
      <c r="C19" s="24" t="n">
        <f aca="false">SUMIFS(Retail_Data!$K$2:$K$151,Retail_Data!$F$2:$F$151,$B19)</f>
        <v>17771</v>
      </c>
      <c r="D19" s="8" t="n">
        <f aca="false">COUNTIFS(Retail_Data!$F$2:$F$151,$B19)</f>
        <v>43</v>
      </c>
      <c r="E19" s="25" t="n">
        <f aca="false">C19/$B$6</f>
        <v>0.31148776554722</v>
      </c>
      <c r="G19" s="8" t="s">
        <v>72</v>
      </c>
      <c r="H19" s="24" t="n">
        <f aca="false">SUMIFS(Retail_Data!$K$2:$K$151,Retail_Data!$G$2:$G$151,$G19)</f>
        <v>17185</v>
      </c>
      <c r="I19" s="8" t="n">
        <f aca="false">COUNTIFS(Retail_Data!$G$2:$G$151,$G19)</f>
        <v>48</v>
      </c>
      <c r="J19" s="25" t="n">
        <f aca="false">H19/$B$6</f>
        <v>0.301216434130267</v>
      </c>
    </row>
    <row r="20" customFormat="false" ht="15" hidden="false" customHeight="false" outlineLevel="0" collapsed="false">
      <c r="B20" s="6" t="s">
        <v>73</v>
      </c>
      <c r="C20" s="22" t="n">
        <f aca="false">SUMIFS(Retail_Data!$K$2:$K$151,Retail_Data!$F$2:$F$151,$B20)</f>
        <v>17488.5</v>
      </c>
      <c r="D20" s="6" t="n">
        <f aca="false">COUNTIFS(Retail_Data!$F$2:$F$151,$B20)</f>
        <v>42</v>
      </c>
      <c r="E20" s="23" t="n">
        <f aca="false">C20/$B$6</f>
        <v>0.306536142466522</v>
      </c>
      <c r="G20" s="6" t="s">
        <v>74</v>
      </c>
      <c r="H20" s="22" t="n">
        <f aca="false">SUMIFS(Retail_Data!$K$2:$K$151,Retail_Data!$G$2:$G$151,$G20)</f>
        <v>10738.25</v>
      </c>
      <c r="I20" s="6" t="n">
        <f aca="false">COUNTIFS(Retail_Data!$G$2:$G$151,$G20)</f>
        <v>42</v>
      </c>
      <c r="J20" s="23" t="n">
        <f aca="false">H20/$B$6</f>
        <v>0.1882186426418</v>
      </c>
    </row>
    <row r="21" customFormat="false" ht="15" hidden="false" customHeight="false" outlineLevel="0" collapsed="false">
      <c r="B21" s="26" t="s">
        <v>64</v>
      </c>
      <c r="C21" s="27" t="n">
        <f aca="false">SUM(C18:C20)</f>
        <v>57052</v>
      </c>
      <c r="D21" s="26" t="n">
        <f aca="false">SUM(D18:D20)</f>
        <v>150</v>
      </c>
      <c r="E21" s="28" t="n">
        <f aca="false">SUM(E18:E20)</f>
        <v>1</v>
      </c>
      <c r="G21" s="26" t="s">
        <v>64</v>
      </c>
      <c r="H21" s="27" t="n">
        <f aca="false">SUM(H18:H20)</f>
        <v>57052</v>
      </c>
      <c r="I21" s="26" t="n">
        <f aca="false">SUM(I18:I20)</f>
        <v>150</v>
      </c>
      <c r="J21" s="28" t="n">
        <f aca="false">SUM(J18:J20)</f>
        <v>1</v>
      </c>
    </row>
    <row r="23" customFormat="false" ht="15" hidden="false" customHeight="false" outlineLevel="0" collapsed="false">
      <c r="B23" s="20" t="s">
        <v>75</v>
      </c>
      <c r="G23" s="20" t="s">
        <v>76</v>
      </c>
    </row>
    <row r="24" customFormat="false" ht="15" hidden="false" customHeight="false" outlineLevel="0" collapsed="false">
      <c r="B24" s="5" t="s">
        <v>77</v>
      </c>
      <c r="C24" s="21" t="s">
        <v>53</v>
      </c>
      <c r="D24" s="21" t="s">
        <v>46</v>
      </c>
      <c r="E24" s="21" t="s">
        <v>78</v>
      </c>
      <c r="G24" s="5" t="s">
        <v>79</v>
      </c>
      <c r="H24" s="21" t="s">
        <v>53</v>
      </c>
      <c r="I24" s="21" t="s">
        <v>80</v>
      </c>
      <c r="J24" s="21" t="s">
        <v>81</v>
      </c>
    </row>
    <row r="25" customFormat="false" ht="15" hidden="false" customHeight="false" outlineLevel="0" collapsed="false">
      <c r="B25" s="29" t="n">
        <v>46023</v>
      </c>
      <c r="C25" s="22" t="n">
        <f aca="false">SUMIFS(Retail_Data!$K$2:$K$151,Retail_Data!$B$2:$B$151,"&gt;="&amp;$B25,Retail_Data!$B$2:$B$151,"&lt;="&amp;EOMONTH($B25,0))</f>
        <v>11372</v>
      </c>
      <c r="D25" s="6" t="n">
        <f aca="false">COUNTIFS(Retail_Data!$B$2:$B$151,"&gt;="&amp;$B25,Retail_Data!$B$2:$B$151,"&lt;="&amp;EOMONTH($B25,0))</f>
        <v>26</v>
      </c>
      <c r="E25" s="30" t="n">
        <f aca="false">IFERROR(C25/D25,0)</f>
        <v>437.384615384615</v>
      </c>
      <c r="G25" s="6" t="s">
        <v>82</v>
      </c>
      <c r="H25" s="22" t="n">
        <f aca="false">SUMIFS(Retail_Data!$K$2:$K$151,Retail_Data!$C$2:$C$151,$G25)</f>
        <v>17192.5</v>
      </c>
      <c r="I25" s="6" t="n">
        <f aca="false">SUMIFS(Retail_Data!$H$2:$H$151,Retail_Data!$C$2:$C$151,$G25)</f>
        <v>30</v>
      </c>
      <c r="J25" s="6" t="n">
        <f aca="false">RANK(H25,$H$25:$H$36)</f>
        <v>1</v>
      </c>
    </row>
    <row r="26" customFormat="false" ht="15" hidden="false" customHeight="false" outlineLevel="0" collapsed="false">
      <c r="B26" s="31" t="n">
        <v>46054</v>
      </c>
      <c r="C26" s="24" t="n">
        <f aca="false">SUMIFS(Retail_Data!$K$2:$K$151,Retail_Data!$B$2:$B$151,"&gt;="&amp;$B26,Retail_Data!$B$2:$B$151,"&lt;="&amp;EOMONTH($B26,0))</f>
        <v>12513</v>
      </c>
      <c r="D26" s="8" t="n">
        <f aca="false">COUNTIFS(Retail_Data!$B$2:$B$151,"&gt;="&amp;$B26,Retail_Data!$B$2:$B$151,"&lt;="&amp;EOMONTH($B26,0))</f>
        <v>23</v>
      </c>
      <c r="E26" s="32" t="n">
        <f aca="false">IFERROR(C26/D26,0)</f>
        <v>544.04347826087</v>
      </c>
      <c r="G26" s="8" t="s">
        <v>83</v>
      </c>
      <c r="H26" s="24" t="n">
        <f aca="false">SUMIFS(Retail_Data!$K$2:$K$151,Retail_Data!$C$2:$C$151,$G26)</f>
        <v>7798</v>
      </c>
      <c r="I26" s="8" t="n">
        <f aca="false">SUMIFS(Retail_Data!$H$2:$H$151,Retail_Data!$C$2:$C$151,$G26)</f>
        <v>30</v>
      </c>
      <c r="J26" s="8" t="n">
        <f aca="false">RANK(H26,$H$25:$H$36)</f>
        <v>2</v>
      </c>
    </row>
    <row r="27" customFormat="false" ht="15" hidden="false" customHeight="false" outlineLevel="0" collapsed="false">
      <c r="B27" s="29" t="n">
        <v>46082</v>
      </c>
      <c r="C27" s="22" t="n">
        <f aca="false">SUMIFS(Retail_Data!$K$2:$K$151,Retail_Data!$B$2:$B$151,"&gt;="&amp;$B27,Retail_Data!$B$2:$B$151,"&lt;="&amp;EOMONTH($B27,0))</f>
        <v>6254.25</v>
      </c>
      <c r="D27" s="6" t="n">
        <f aca="false">COUNTIFS(Retail_Data!$B$2:$B$151,"&gt;="&amp;$B27,Retail_Data!$B$2:$B$151,"&lt;="&amp;EOMONTH($B27,0))</f>
        <v>26</v>
      </c>
      <c r="E27" s="30" t="n">
        <f aca="false">IFERROR(C27/D27,0)</f>
        <v>240.548076923077</v>
      </c>
      <c r="G27" s="6" t="s">
        <v>84</v>
      </c>
      <c r="H27" s="22" t="n">
        <f aca="false">SUMIFS(Retail_Data!$K$2:$K$151,Retail_Data!$C$2:$C$151,$G27)</f>
        <v>7035</v>
      </c>
      <c r="I27" s="6" t="n">
        <f aca="false">SUMIFS(Retail_Data!$H$2:$H$151,Retail_Data!$C$2:$C$151,$G27)</f>
        <v>19</v>
      </c>
      <c r="J27" s="6" t="n">
        <f aca="false">RANK(H27,$H$25:$H$36)</f>
        <v>3</v>
      </c>
    </row>
    <row r="28" customFormat="false" ht="15" hidden="false" customHeight="false" outlineLevel="0" collapsed="false">
      <c r="B28" s="31" t="n">
        <v>46113</v>
      </c>
      <c r="C28" s="24" t="n">
        <f aca="false">SUMIFS(Retail_Data!$K$2:$K$151,Retail_Data!$B$2:$B$151,"&gt;="&amp;$B28,Retail_Data!$B$2:$B$151,"&lt;="&amp;EOMONTH($B28,0))</f>
        <v>8361</v>
      </c>
      <c r="D28" s="8" t="n">
        <f aca="false">COUNTIFS(Retail_Data!$B$2:$B$151,"&gt;="&amp;$B28,Retail_Data!$B$2:$B$151,"&lt;="&amp;EOMONTH($B28,0))</f>
        <v>25</v>
      </c>
      <c r="E28" s="32" t="n">
        <f aca="false">IFERROR(C28/D28,0)</f>
        <v>334.44</v>
      </c>
      <c r="G28" s="8" t="s">
        <v>85</v>
      </c>
      <c r="H28" s="24" t="n">
        <f aca="false">SUMIFS(Retail_Data!$K$2:$K$151,Retail_Data!$C$2:$C$151,$G28)</f>
        <v>6516</v>
      </c>
      <c r="I28" s="8" t="n">
        <f aca="false">SUMIFS(Retail_Data!$H$2:$H$151,Retail_Data!$C$2:$C$151,$G28)</f>
        <v>40</v>
      </c>
      <c r="J28" s="8" t="n">
        <f aca="false">RANK(H28,$H$25:$H$36)</f>
        <v>4</v>
      </c>
    </row>
    <row r="29" customFormat="false" ht="15" hidden="false" customHeight="false" outlineLevel="0" collapsed="false">
      <c r="B29" s="29" t="n">
        <v>46143</v>
      </c>
      <c r="C29" s="22" t="n">
        <f aca="false">SUMIFS(Retail_Data!$K$2:$K$151,Retail_Data!$B$2:$B$151,"&gt;="&amp;$B29,Retail_Data!$B$2:$B$151,"&lt;="&amp;EOMONTH($B29,0))</f>
        <v>12349.75</v>
      </c>
      <c r="D29" s="6" t="n">
        <f aca="false">COUNTIFS(Retail_Data!$B$2:$B$151,"&gt;="&amp;$B29,Retail_Data!$B$2:$B$151,"&lt;="&amp;EOMONTH($B29,0))</f>
        <v>25</v>
      </c>
      <c r="E29" s="30" t="n">
        <f aca="false">IFERROR(C29/D29,0)</f>
        <v>493.99</v>
      </c>
      <c r="G29" s="6" t="s">
        <v>86</v>
      </c>
      <c r="H29" s="22" t="n">
        <f aca="false">SUMIFS(Retail_Data!$K$2:$K$151,Retail_Data!$C$2:$C$151,$G29)</f>
        <v>5145</v>
      </c>
      <c r="I29" s="6" t="n">
        <f aca="false">SUMIFS(Retail_Data!$H$2:$H$151,Retail_Data!$C$2:$C$151,$G29)</f>
        <v>16</v>
      </c>
      <c r="J29" s="6" t="n">
        <f aca="false">RANK(H29,$H$25:$H$36)</f>
        <v>5</v>
      </c>
    </row>
    <row r="30" customFormat="false" ht="15" hidden="false" customHeight="false" outlineLevel="0" collapsed="false">
      <c r="B30" s="31" t="n">
        <v>46174</v>
      </c>
      <c r="C30" s="24" t="n">
        <f aca="false">SUMIFS(Retail_Data!$K$2:$K$151,Retail_Data!$B$2:$B$151,"&gt;="&amp;$B30,Retail_Data!$B$2:$B$151,"&lt;="&amp;EOMONTH($B30,0))</f>
        <v>6202</v>
      </c>
      <c r="D30" s="8" t="n">
        <f aca="false">COUNTIFS(Retail_Data!$B$2:$B$151,"&gt;="&amp;$B30,Retail_Data!$B$2:$B$151,"&lt;="&amp;EOMONTH($B30,0))</f>
        <v>25</v>
      </c>
      <c r="E30" s="32" t="n">
        <f aca="false">IFERROR(C30/D30,0)</f>
        <v>248.08</v>
      </c>
      <c r="G30" s="8" t="s">
        <v>87</v>
      </c>
      <c r="H30" s="24" t="n">
        <f aca="false">SUMIFS(Retail_Data!$K$2:$K$151,Retail_Data!$C$2:$C$151,$G30)</f>
        <v>3062.5</v>
      </c>
      <c r="I30" s="8" t="n">
        <f aca="false">SUMIFS(Retail_Data!$H$2:$H$151,Retail_Data!$C$2:$C$151,$G30)</f>
        <v>48</v>
      </c>
      <c r="J30" s="8" t="n">
        <f aca="false">RANK(H30,$H$25:$H$36)</f>
        <v>6</v>
      </c>
    </row>
    <row r="31" customFormat="false" ht="15" hidden="false" customHeight="false" outlineLevel="0" collapsed="false">
      <c r="G31" s="6" t="s">
        <v>88</v>
      </c>
      <c r="H31" s="22" t="n">
        <f aca="false">SUMIFS(Retail_Data!$K$2:$K$151,Retail_Data!$C$2:$C$151,$G31)</f>
        <v>2716</v>
      </c>
      <c r="I31" s="6" t="n">
        <f aca="false">SUMIFS(Retail_Data!$H$2:$H$151,Retail_Data!$C$2:$C$151,$G31)</f>
        <v>40</v>
      </c>
      <c r="J31" s="6" t="n">
        <f aca="false">RANK(H31,$H$25:$H$36)</f>
        <v>7</v>
      </c>
    </row>
    <row r="32" customFormat="false" ht="15" hidden="false" customHeight="false" outlineLevel="0" collapsed="false">
      <c r="G32" s="8" t="s">
        <v>89</v>
      </c>
      <c r="H32" s="24" t="n">
        <f aca="false">SUMIFS(Retail_Data!$K$2:$K$151,Retail_Data!$C$2:$C$151,$G32)</f>
        <v>2448</v>
      </c>
      <c r="I32" s="8" t="n">
        <f aca="false">SUMIFS(Retail_Data!$H$2:$H$151,Retail_Data!$C$2:$C$151,$G32)</f>
        <v>59</v>
      </c>
      <c r="J32" s="8" t="n">
        <f aca="false">RANK(H32,$H$25:$H$36)</f>
        <v>8</v>
      </c>
    </row>
    <row r="33" customFormat="false" ht="15" hidden="false" customHeight="false" outlineLevel="0" collapsed="false">
      <c r="G33" s="6" t="s">
        <v>90</v>
      </c>
      <c r="H33" s="22" t="n">
        <f aca="false">SUMIFS(Retail_Data!$K$2:$K$151,Retail_Data!$C$2:$C$151,$G33)</f>
        <v>1800.25</v>
      </c>
      <c r="I33" s="6" t="n">
        <f aca="false">SUMIFS(Retail_Data!$H$2:$H$151,Retail_Data!$C$2:$C$151,$G33)</f>
        <v>21</v>
      </c>
      <c r="J33" s="6" t="n">
        <f aca="false">RANK(H33,$H$25:$H$36)</f>
        <v>9</v>
      </c>
    </row>
    <row r="34" customFormat="false" ht="15" hidden="false" customHeight="false" outlineLevel="0" collapsed="false">
      <c r="G34" s="8" t="s">
        <v>91</v>
      </c>
      <c r="H34" s="24" t="n">
        <f aca="false">SUMIFS(Retail_Data!$K$2:$K$151,Retail_Data!$C$2:$C$151,$G34)</f>
        <v>1278</v>
      </c>
      <c r="I34" s="8" t="n">
        <f aca="false">SUMIFS(Retail_Data!$H$2:$H$151,Retail_Data!$C$2:$C$151,$G34)</f>
        <v>48</v>
      </c>
      <c r="J34" s="8" t="n">
        <f aca="false">RANK(H34,$H$25:$H$36)</f>
        <v>10</v>
      </c>
    </row>
    <row r="35" customFormat="false" ht="15" hidden="false" customHeight="false" outlineLevel="0" collapsed="false">
      <c r="G35" s="6" t="s">
        <v>92</v>
      </c>
      <c r="H35" s="22" t="n">
        <f aca="false">SUMIFS(Retail_Data!$K$2:$K$151,Retail_Data!$C$2:$C$151,$G35)</f>
        <v>1083.25</v>
      </c>
      <c r="I35" s="6" t="n">
        <f aca="false">SUMIFS(Retail_Data!$H$2:$H$151,Retail_Data!$C$2:$C$151,$G35)</f>
        <v>35</v>
      </c>
      <c r="J35" s="6" t="n">
        <f aca="false">RANK(H35,$H$25:$H$36)</f>
        <v>11</v>
      </c>
    </row>
    <row r="36" customFormat="false" ht="15" hidden="false" customHeight="false" outlineLevel="0" collapsed="false">
      <c r="G36" s="8" t="s">
        <v>93</v>
      </c>
      <c r="H36" s="24" t="n">
        <f aca="false">SUMIFS(Retail_Data!$K$2:$K$151,Retail_Data!$C$2:$C$151,$G36)</f>
        <v>977.5</v>
      </c>
      <c r="I36" s="8" t="n">
        <f aca="false">SUMIFS(Retail_Data!$H$2:$H$151,Retail_Data!$C$2:$C$151,$G36)</f>
        <v>42</v>
      </c>
      <c r="J36" s="8" t="n">
        <f aca="false">RANK(H36,$H$25:$H$36)</f>
        <v>12</v>
      </c>
    </row>
  </sheetData>
  <mergeCells count="10">
    <mergeCell ref="B5:C5"/>
    <mergeCell ref="D5:E5"/>
    <mergeCell ref="F5:G5"/>
    <mergeCell ref="H5:I5"/>
    <mergeCell ref="J5:K5"/>
    <mergeCell ref="B6:C6"/>
    <mergeCell ref="D6:E6"/>
    <mergeCell ref="F6:G6"/>
    <mergeCell ref="H6:I6"/>
    <mergeCell ref="J6:K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true"/>
  </sheetPr>
  <dimension ref="A1:L1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13"/>
    <col collapsed="false" customWidth="true" hidden="false" outlineLevel="0" max="5" min="5" style="0" width="9"/>
    <col collapsed="false" customWidth="true" hidden="false" outlineLevel="0" max="6" min="6" style="0" width="13"/>
    <col collapsed="false" customWidth="true" hidden="false" outlineLevel="0" max="7" min="7" style="0" width="18"/>
    <col collapsed="false" customWidth="true" hidden="false" outlineLevel="0" max="8" min="8" style="0" width="8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1" min="11" style="0" width="11"/>
    <col collapsed="false" customWidth="true" hidden="false" outlineLevel="0" max="12" min="12" style="0" width="15"/>
  </cols>
  <sheetData>
    <row r="1" customFormat="false" ht="23.85" hidden="false" customHeight="false" outlineLevel="0" collapsed="false">
      <c r="A1" s="5" t="s">
        <v>94</v>
      </c>
      <c r="B1" s="5" t="s">
        <v>95</v>
      </c>
      <c r="C1" s="5" t="s">
        <v>79</v>
      </c>
      <c r="D1" s="5" t="s">
        <v>52</v>
      </c>
      <c r="E1" s="5" t="s">
        <v>55</v>
      </c>
      <c r="F1" s="5" t="s">
        <v>67</v>
      </c>
      <c r="G1" s="5" t="s">
        <v>96</v>
      </c>
      <c r="H1" s="5" t="s">
        <v>80</v>
      </c>
      <c r="I1" s="5" t="s">
        <v>97</v>
      </c>
      <c r="J1" s="5" t="s">
        <v>98</v>
      </c>
      <c r="K1" s="21" t="s">
        <v>53</v>
      </c>
      <c r="L1" s="5" t="s">
        <v>99</v>
      </c>
    </row>
    <row r="2" customFormat="false" ht="15" hidden="false" customHeight="false" outlineLevel="0" collapsed="false">
      <c r="A2" s="33" t="n">
        <v>1001</v>
      </c>
      <c r="B2" s="34" t="n">
        <v>46023</v>
      </c>
      <c r="C2" s="33" t="s">
        <v>86</v>
      </c>
      <c r="D2" s="33" t="s">
        <v>58</v>
      </c>
      <c r="E2" s="33" t="s">
        <v>59</v>
      </c>
      <c r="F2" s="33" t="s">
        <v>73</v>
      </c>
      <c r="G2" s="33" t="s">
        <v>70</v>
      </c>
      <c r="H2" s="33" t="n">
        <v>4</v>
      </c>
      <c r="I2" s="35" t="n">
        <v>350</v>
      </c>
      <c r="J2" s="36" t="n">
        <v>0.2</v>
      </c>
      <c r="K2" s="37" t="n">
        <f aca="false">H2*I2*(1-J2)</f>
        <v>1120</v>
      </c>
      <c r="L2" s="33" t="s">
        <v>100</v>
      </c>
    </row>
    <row r="3" customFormat="false" ht="15" hidden="false" customHeight="false" outlineLevel="0" collapsed="false">
      <c r="A3" s="33" t="n">
        <v>1002</v>
      </c>
      <c r="B3" s="34" t="n">
        <v>46024</v>
      </c>
      <c r="C3" s="33" t="s">
        <v>86</v>
      </c>
      <c r="D3" s="33" t="s">
        <v>58</v>
      </c>
      <c r="E3" s="33" t="s">
        <v>59</v>
      </c>
      <c r="F3" s="33" t="s">
        <v>73</v>
      </c>
      <c r="G3" s="33" t="s">
        <v>72</v>
      </c>
      <c r="H3" s="33" t="n">
        <v>2</v>
      </c>
      <c r="I3" s="35" t="n">
        <v>350</v>
      </c>
      <c r="J3" s="36" t="n">
        <v>0.1</v>
      </c>
      <c r="K3" s="37" t="n">
        <f aca="false">H3*I3*(1-J3)</f>
        <v>630</v>
      </c>
      <c r="L3" s="33" t="s">
        <v>101</v>
      </c>
    </row>
    <row r="4" customFormat="false" ht="15" hidden="false" customHeight="false" outlineLevel="0" collapsed="false">
      <c r="A4" s="33" t="n">
        <v>1003</v>
      </c>
      <c r="B4" s="34" t="n">
        <v>46025</v>
      </c>
      <c r="C4" s="33" t="s">
        <v>89</v>
      </c>
      <c r="D4" s="33" t="s">
        <v>62</v>
      </c>
      <c r="E4" s="33" t="s">
        <v>61</v>
      </c>
      <c r="F4" s="33" t="s">
        <v>69</v>
      </c>
      <c r="G4" s="33" t="s">
        <v>74</v>
      </c>
      <c r="H4" s="33" t="n">
        <v>4</v>
      </c>
      <c r="I4" s="35" t="n">
        <v>45</v>
      </c>
      <c r="J4" s="36" t="n">
        <v>0.1</v>
      </c>
      <c r="K4" s="37" t="n">
        <f aca="false">H4*I4*(1-J4)</f>
        <v>162</v>
      </c>
      <c r="L4" s="33" t="s">
        <v>101</v>
      </c>
    </row>
    <row r="5" customFormat="false" ht="15" hidden="false" customHeight="false" outlineLevel="0" collapsed="false">
      <c r="A5" s="33" t="n">
        <v>1004</v>
      </c>
      <c r="B5" s="34" t="n">
        <v>46026</v>
      </c>
      <c r="C5" s="33" t="s">
        <v>91</v>
      </c>
      <c r="D5" s="33" t="s">
        <v>60</v>
      </c>
      <c r="E5" s="33" t="s">
        <v>63</v>
      </c>
      <c r="F5" s="33" t="s">
        <v>69</v>
      </c>
      <c r="G5" s="33" t="s">
        <v>74</v>
      </c>
      <c r="H5" s="33" t="n">
        <v>2</v>
      </c>
      <c r="I5" s="35" t="n">
        <v>30</v>
      </c>
      <c r="J5" s="36" t="n">
        <v>0.15</v>
      </c>
      <c r="K5" s="37" t="n">
        <f aca="false">H5*I5*(1-J5)</f>
        <v>51</v>
      </c>
      <c r="L5" s="33" t="s">
        <v>102</v>
      </c>
    </row>
    <row r="6" customFormat="false" ht="15" hidden="false" customHeight="false" outlineLevel="0" collapsed="false">
      <c r="A6" s="33" t="n">
        <v>1005</v>
      </c>
      <c r="B6" s="34" t="n">
        <v>46027</v>
      </c>
      <c r="C6" s="33" t="s">
        <v>91</v>
      </c>
      <c r="D6" s="33" t="s">
        <v>60</v>
      </c>
      <c r="E6" s="33" t="s">
        <v>59</v>
      </c>
      <c r="F6" s="33" t="s">
        <v>73</v>
      </c>
      <c r="G6" s="33" t="s">
        <v>72</v>
      </c>
      <c r="H6" s="33" t="n">
        <v>1</v>
      </c>
      <c r="I6" s="35" t="n">
        <v>30</v>
      </c>
      <c r="J6" s="36" t="n">
        <v>0</v>
      </c>
      <c r="K6" s="37" t="n">
        <f aca="false">H6*I6*(1-J6)</f>
        <v>30</v>
      </c>
      <c r="L6" s="33" t="s">
        <v>102</v>
      </c>
    </row>
    <row r="7" customFormat="false" ht="15" hidden="false" customHeight="false" outlineLevel="0" collapsed="false">
      <c r="A7" s="33" t="n">
        <v>1006</v>
      </c>
      <c r="B7" s="34" t="n">
        <v>46029</v>
      </c>
      <c r="C7" s="33" t="s">
        <v>91</v>
      </c>
      <c r="D7" s="33" t="s">
        <v>60</v>
      </c>
      <c r="E7" s="33" t="s">
        <v>57</v>
      </c>
      <c r="F7" s="33" t="s">
        <v>73</v>
      </c>
      <c r="G7" s="33" t="s">
        <v>70</v>
      </c>
      <c r="H7" s="33" t="n">
        <v>4</v>
      </c>
      <c r="I7" s="35" t="n">
        <v>30</v>
      </c>
      <c r="J7" s="36" t="n">
        <v>0.1</v>
      </c>
      <c r="K7" s="37" t="n">
        <f aca="false">H7*I7*(1-J7)</f>
        <v>108</v>
      </c>
      <c r="L7" s="33" t="s">
        <v>103</v>
      </c>
    </row>
    <row r="8" customFormat="false" ht="15" hidden="false" customHeight="false" outlineLevel="0" collapsed="false">
      <c r="A8" s="33" t="n">
        <v>1007</v>
      </c>
      <c r="B8" s="34" t="n">
        <v>46030</v>
      </c>
      <c r="C8" s="33" t="s">
        <v>89</v>
      </c>
      <c r="D8" s="33" t="s">
        <v>62</v>
      </c>
      <c r="E8" s="33" t="s">
        <v>63</v>
      </c>
      <c r="F8" s="33" t="s">
        <v>73</v>
      </c>
      <c r="G8" s="33" t="s">
        <v>74</v>
      </c>
      <c r="H8" s="33" t="n">
        <v>3</v>
      </c>
      <c r="I8" s="35" t="n">
        <v>45</v>
      </c>
      <c r="J8" s="36" t="n">
        <v>0.2</v>
      </c>
      <c r="K8" s="37" t="n">
        <f aca="false">H8*I8*(1-J8)</f>
        <v>108</v>
      </c>
      <c r="L8" s="33" t="s">
        <v>101</v>
      </c>
    </row>
    <row r="9" customFormat="false" ht="15" hidden="false" customHeight="false" outlineLevel="0" collapsed="false">
      <c r="A9" s="33" t="n">
        <v>1008</v>
      </c>
      <c r="B9" s="34" t="n">
        <v>46031</v>
      </c>
      <c r="C9" s="33" t="s">
        <v>90</v>
      </c>
      <c r="D9" s="33" t="s">
        <v>58</v>
      </c>
      <c r="E9" s="33" t="s">
        <v>61</v>
      </c>
      <c r="F9" s="33" t="s">
        <v>69</v>
      </c>
      <c r="G9" s="33" t="s">
        <v>74</v>
      </c>
      <c r="H9" s="33" t="n">
        <v>4</v>
      </c>
      <c r="I9" s="35" t="n">
        <v>95</v>
      </c>
      <c r="J9" s="36" t="n">
        <v>0.05</v>
      </c>
      <c r="K9" s="37" t="n">
        <f aca="false">H9*I9*(1-J9)</f>
        <v>361</v>
      </c>
      <c r="L9" s="33" t="s">
        <v>100</v>
      </c>
    </row>
    <row r="10" customFormat="false" ht="15" hidden="false" customHeight="false" outlineLevel="0" collapsed="false">
      <c r="A10" s="33" t="n">
        <v>1009</v>
      </c>
      <c r="B10" s="34" t="n">
        <v>46032</v>
      </c>
      <c r="C10" s="33" t="s">
        <v>84</v>
      </c>
      <c r="D10" s="33" t="s">
        <v>56</v>
      </c>
      <c r="E10" s="33" t="s">
        <v>59</v>
      </c>
      <c r="F10" s="33" t="s">
        <v>73</v>
      </c>
      <c r="G10" s="33" t="s">
        <v>70</v>
      </c>
      <c r="H10" s="33" t="n">
        <v>4</v>
      </c>
      <c r="I10" s="35" t="n">
        <v>420</v>
      </c>
      <c r="J10" s="36" t="n">
        <v>0.15</v>
      </c>
      <c r="K10" s="37" t="n">
        <f aca="false">H10*I10*(1-J10)</f>
        <v>1428</v>
      </c>
      <c r="L10" s="33" t="s">
        <v>101</v>
      </c>
    </row>
    <row r="11" customFormat="false" ht="15" hidden="false" customHeight="false" outlineLevel="0" collapsed="false">
      <c r="A11" s="33" t="n">
        <v>1010</v>
      </c>
      <c r="B11" s="34" t="n">
        <v>46033</v>
      </c>
      <c r="C11" s="33" t="s">
        <v>88</v>
      </c>
      <c r="D11" s="33" t="s">
        <v>56</v>
      </c>
      <c r="E11" s="33" t="s">
        <v>61</v>
      </c>
      <c r="F11" s="33" t="s">
        <v>71</v>
      </c>
      <c r="G11" s="33" t="s">
        <v>74</v>
      </c>
      <c r="H11" s="33" t="n">
        <v>1</v>
      </c>
      <c r="I11" s="35" t="n">
        <v>80</v>
      </c>
      <c r="J11" s="36" t="n">
        <v>0.15</v>
      </c>
      <c r="K11" s="37" t="n">
        <f aca="false">H11*I11*(1-J11)</f>
        <v>68</v>
      </c>
      <c r="L11" s="33" t="s">
        <v>102</v>
      </c>
    </row>
    <row r="12" customFormat="false" ht="15" hidden="false" customHeight="false" outlineLevel="0" collapsed="false">
      <c r="A12" s="33" t="n">
        <v>1011</v>
      </c>
      <c r="B12" s="34" t="n">
        <v>46035</v>
      </c>
      <c r="C12" s="33" t="s">
        <v>87</v>
      </c>
      <c r="D12" s="33" t="s">
        <v>62</v>
      </c>
      <c r="E12" s="33" t="s">
        <v>61</v>
      </c>
      <c r="F12" s="33" t="s">
        <v>69</v>
      </c>
      <c r="G12" s="33" t="s">
        <v>72</v>
      </c>
      <c r="H12" s="33" t="n">
        <v>2</v>
      </c>
      <c r="I12" s="35" t="n">
        <v>70</v>
      </c>
      <c r="J12" s="36" t="n">
        <v>0.15</v>
      </c>
      <c r="K12" s="37" t="n">
        <f aca="false">H12*I12*(1-J12)</f>
        <v>119</v>
      </c>
      <c r="L12" s="33" t="s">
        <v>102</v>
      </c>
    </row>
    <row r="13" customFormat="false" ht="15" hidden="false" customHeight="false" outlineLevel="0" collapsed="false">
      <c r="A13" s="33" t="n">
        <v>1012</v>
      </c>
      <c r="B13" s="34" t="n">
        <v>46036</v>
      </c>
      <c r="C13" s="33" t="s">
        <v>85</v>
      </c>
      <c r="D13" s="33" t="s">
        <v>60</v>
      </c>
      <c r="E13" s="33" t="s">
        <v>61</v>
      </c>
      <c r="F13" s="33" t="s">
        <v>71</v>
      </c>
      <c r="G13" s="33" t="s">
        <v>74</v>
      </c>
      <c r="H13" s="33" t="n">
        <v>4</v>
      </c>
      <c r="I13" s="35" t="n">
        <v>180</v>
      </c>
      <c r="J13" s="36" t="n">
        <v>0.05</v>
      </c>
      <c r="K13" s="37" t="n">
        <f aca="false">H13*I13*(1-J13)</f>
        <v>684</v>
      </c>
      <c r="L13" s="33" t="s">
        <v>103</v>
      </c>
    </row>
    <row r="14" customFormat="false" ht="15" hidden="false" customHeight="false" outlineLevel="0" collapsed="false">
      <c r="A14" s="33" t="n">
        <v>1013</v>
      </c>
      <c r="B14" s="34" t="n">
        <v>46037</v>
      </c>
      <c r="C14" s="33" t="s">
        <v>83</v>
      </c>
      <c r="D14" s="33" t="s">
        <v>58</v>
      </c>
      <c r="E14" s="33" t="s">
        <v>61</v>
      </c>
      <c r="F14" s="33" t="s">
        <v>69</v>
      </c>
      <c r="G14" s="33" t="s">
        <v>70</v>
      </c>
      <c r="H14" s="33" t="n">
        <v>4</v>
      </c>
      <c r="I14" s="35" t="n">
        <v>280</v>
      </c>
      <c r="J14" s="36" t="n">
        <v>0</v>
      </c>
      <c r="K14" s="37" t="n">
        <f aca="false">H14*I14*(1-J14)</f>
        <v>1120</v>
      </c>
      <c r="L14" s="33" t="s">
        <v>102</v>
      </c>
    </row>
    <row r="15" customFormat="false" ht="15" hidden="false" customHeight="false" outlineLevel="0" collapsed="false">
      <c r="A15" s="33" t="n">
        <v>1014</v>
      </c>
      <c r="B15" s="34" t="n">
        <v>46038</v>
      </c>
      <c r="C15" s="33" t="s">
        <v>89</v>
      </c>
      <c r="D15" s="33" t="s">
        <v>62</v>
      </c>
      <c r="E15" s="33" t="s">
        <v>57</v>
      </c>
      <c r="F15" s="33" t="s">
        <v>69</v>
      </c>
      <c r="G15" s="33" t="s">
        <v>70</v>
      </c>
      <c r="H15" s="33" t="n">
        <v>2</v>
      </c>
      <c r="I15" s="35" t="n">
        <v>45</v>
      </c>
      <c r="J15" s="36" t="n">
        <v>0</v>
      </c>
      <c r="K15" s="37" t="n">
        <f aca="false">H15*I15*(1-J15)</f>
        <v>90</v>
      </c>
      <c r="L15" s="33" t="s">
        <v>100</v>
      </c>
    </row>
    <row r="16" customFormat="false" ht="15" hidden="false" customHeight="false" outlineLevel="0" collapsed="false">
      <c r="A16" s="33" t="n">
        <v>1015</v>
      </c>
      <c r="B16" s="34" t="n">
        <v>46039</v>
      </c>
      <c r="C16" s="33" t="s">
        <v>82</v>
      </c>
      <c r="D16" s="33" t="s">
        <v>56</v>
      </c>
      <c r="E16" s="33" t="s">
        <v>57</v>
      </c>
      <c r="F16" s="33" t="s">
        <v>69</v>
      </c>
      <c r="G16" s="33" t="s">
        <v>72</v>
      </c>
      <c r="H16" s="33" t="n">
        <v>1</v>
      </c>
      <c r="I16" s="35" t="n">
        <v>650</v>
      </c>
      <c r="J16" s="36" t="n">
        <v>0</v>
      </c>
      <c r="K16" s="37" t="n">
        <f aca="false">H16*I16*(1-J16)</f>
        <v>650</v>
      </c>
      <c r="L16" s="33" t="s">
        <v>103</v>
      </c>
    </row>
    <row r="17" customFormat="false" ht="15" hidden="false" customHeight="false" outlineLevel="0" collapsed="false">
      <c r="A17" s="33" t="n">
        <v>1016</v>
      </c>
      <c r="B17" s="34" t="n">
        <v>46041</v>
      </c>
      <c r="C17" s="33" t="s">
        <v>88</v>
      </c>
      <c r="D17" s="33" t="s">
        <v>56</v>
      </c>
      <c r="E17" s="33" t="s">
        <v>59</v>
      </c>
      <c r="F17" s="33" t="s">
        <v>69</v>
      </c>
      <c r="G17" s="33" t="s">
        <v>72</v>
      </c>
      <c r="H17" s="33" t="n">
        <v>1</v>
      </c>
      <c r="I17" s="35" t="n">
        <v>80</v>
      </c>
      <c r="J17" s="36" t="n">
        <v>0.1</v>
      </c>
      <c r="K17" s="37" t="n">
        <f aca="false">H17*I17*(1-J17)</f>
        <v>72</v>
      </c>
      <c r="L17" s="33" t="s">
        <v>100</v>
      </c>
    </row>
    <row r="18" customFormat="false" ht="15" hidden="false" customHeight="false" outlineLevel="0" collapsed="false">
      <c r="A18" s="33" t="n">
        <v>1017</v>
      </c>
      <c r="B18" s="34" t="n">
        <v>46042</v>
      </c>
      <c r="C18" s="33" t="s">
        <v>85</v>
      </c>
      <c r="D18" s="33" t="s">
        <v>60</v>
      </c>
      <c r="E18" s="33" t="s">
        <v>57</v>
      </c>
      <c r="F18" s="33" t="s">
        <v>73</v>
      </c>
      <c r="G18" s="33" t="s">
        <v>70</v>
      </c>
      <c r="H18" s="33" t="n">
        <v>2</v>
      </c>
      <c r="I18" s="35" t="n">
        <v>180</v>
      </c>
      <c r="J18" s="36" t="n">
        <v>0</v>
      </c>
      <c r="K18" s="37" t="n">
        <f aca="false">H18*I18*(1-J18)</f>
        <v>360</v>
      </c>
      <c r="L18" s="33" t="s">
        <v>101</v>
      </c>
    </row>
    <row r="19" customFormat="false" ht="15" hidden="false" customHeight="false" outlineLevel="0" collapsed="false">
      <c r="A19" s="33" t="n">
        <v>1018</v>
      </c>
      <c r="B19" s="34" t="n">
        <v>46043</v>
      </c>
      <c r="C19" s="33" t="s">
        <v>91</v>
      </c>
      <c r="D19" s="33" t="s">
        <v>60</v>
      </c>
      <c r="E19" s="33" t="s">
        <v>57</v>
      </c>
      <c r="F19" s="33" t="s">
        <v>73</v>
      </c>
      <c r="G19" s="33" t="s">
        <v>72</v>
      </c>
      <c r="H19" s="33" t="n">
        <v>2</v>
      </c>
      <c r="I19" s="35" t="n">
        <v>30</v>
      </c>
      <c r="J19" s="36" t="n">
        <v>0</v>
      </c>
      <c r="K19" s="37" t="n">
        <f aca="false">H19*I19*(1-J19)</f>
        <v>60</v>
      </c>
      <c r="L19" s="33" t="s">
        <v>102</v>
      </c>
    </row>
    <row r="20" customFormat="false" ht="15" hidden="false" customHeight="false" outlineLevel="0" collapsed="false">
      <c r="A20" s="33" t="n">
        <v>1019</v>
      </c>
      <c r="B20" s="34" t="n">
        <v>46044</v>
      </c>
      <c r="C20" s="33" t="s">
        <v>83</v>
      </c>
      <c r="D20" s="33" t="s">
        <v>58</v>
      </c>
      <c r="E20" s="33" t="s">
        <v>57</v>
      </c>
      <c r="F20" s="33" t="s">
        <v>71</v>
      </c>
      <c r="G20" s="33" t="s">
        <v>72</v>
      </c>
      <c r="H20" s="33" t="n">
        <v>5</v>
      </c>
      <c r="I20" s="35" t="n">
        <v>280</v>
      </c>
      <c r="J20" s="36" t="n">
        <v>0.1</v>
      </c>
      <c r="K20" s="37" t="n">
        <f aca="false">H20*I20*(1-J20)</f>
        <v>1260</v>
      </c>
      <c r="L20" s="33" t="s">
        <v>103</v>
      </c>
    </row>
    <row r="21" customFormat="false" ht="15" hidden="false" customHeight="false" outlineLevel="0" collapsed="false">
      <c r="A21" s="33" t="n">
        <v>1020</v>
      </c>
      <c r="B21" s="34" t="n">
        <v>46045</v>
      </c>
      <c r="C21" s="33" t="s">
        <v>82</v>
      </c>
      <c r="D21" s="33" t="s">
        <v>56</v>
      </c>
      <c r="E21" s="33" t="s">
        <v>59</v>
      </c>
      <c r="F21" s="33" t="s">
        <v>71</v>
      </c>
      <c r="G21" s="33" t="s">
        <v>72</v>
      </c>
      <c r="H21" s="33" t="n">
        <v>3</v>
      </c>
      <c r="I21" s="35" t="n">
        <v>650</v>
      </c>
      <c r="J21" s="36" t="n">
        <v>0.2</v>
      </c>
      <c r="K21" s="37" t="n">
        <f aca="false">H21*I21*(1-J21)</f>
        <v>1560</v>
      </c>
      <c r="L21" s="33" t="s">
        <v>100</v>
      </c>
    </row>
    <row r="22" customFormat="false" ht="15" hidden="false" customHeight="false" outlineLevel="0" collapsed="false">
      <c r="A22" s="33" t="n">
        <v>1021</v>
      </c>
      <c r="B22" s="34" t="n">
        <v>46047</v>
      </c>
      <c r="C22" s="33" t="s">
        <v>89</v>
      </c>
      <c r="D22" s="33" t="s">
        <v>62</v>
      </c>
      <c r="E22" s="33" t="s">
        <v>63</v>
      </c>
      <c r="F22" s="33" t="s">
        <v>73</v>
      </c>
      <c r="G22" s="33" t="s">
        <v>72</v>
      </c>
      <c r="H22" s="33" t="n">
        <v>2</v>
      </c>
      <c r="I22" s="35" t="n">
        <v>45</v>
      </c>
      <c r="J22" s="36" t="n">
        <v>0.1</v>
      </c>
      <c r="K22" s="37" t="n">
        <f aca="false">H22*I22*(1-J22)</f>
        <v>81</v>
      </c>
      <c r="L22" s="33" t="s">
        <v>102</v>
      </c>
    </row>
    <row r="23" customFormat="false" ht="15" hidden="false" customHeight="false" outlineLevel="0" collapsed="false">
      <c r="A23" s="33" t="n">
        <v>1022</v>
      </c>
      <c r="B23" s="34" t="n">
        <v>46048</v>
      </c>
      <c r="C23" s="33" t="s">
        <v>85</v>
      </c>
      <c r="D23" s="33" t="s">
        <v>60</v>
      </c>
      <c r="E23" s="33" t="s">
        <v>59</v>
      </c>
      <c r="F23" s="33" t="s">
        <v>73</v>
      </c>
      <c r="G23" s="33" t="s">
        <v>72</v>
      </c>
      <c r="H23" s="33" t="n">
        <v>4</v>
      </c>
      <c r="I23" s="35" t="n">
        <v>180</v>
      </c>
      <c r="J23" s="36" t="n">
        <v>0.2</v>
      </c>
      <c r="K23" s="37" t="n">
        <f aca="false">H23*I23*(1-J23)</f>
        <v>576</v>
      </c>
      <c r="L23" s="33" t="s">
        <v>100</v>
      </c>
    </row>
    <row r="24" customFormat="false" ht="15" hidden="false" customHeight="false" outlineLevel="0" collapsed="false">
      <c r="A24" s="33" t="n">
        <v>1023</v>
      </c>
      <c r="B24" s="34" t="n">
        <v>46049</v>
      </c>
      <c r="C24" s="33" t="s">
        <v>93</v>
      </c>
      <c r="D24" s="33" t="s">
        <v>62</v>
      </c>
      <c r="E24" s="33" t="s">
        <v>61</v>
      </c>
      <c r="F24" s="33" t="s">
        <v>69</v>
      </c>
      <c r="G24" s="33" t="s">
        <v>72</v>
      </c>
      <c r="H24" s="33" t="n">
        <v>5</v>
      </c>
      <c r="I24" s="35" t="n">
        <v>25</v>
      </c>
      <c r="J24" s="36" t="n">
        <v>0.15</v>
      </c>
      <c r="K24" s="37" t="n">
        <f aca="false">H24*I24*(1-J24)</f>
        <v>106.25</v>
      </c>
      <c r="L24" s="33" t="s">
        <v>103</v>
      </c>
    </row>
    <row r="25" customFormat="false" ht="15" hidden="false" customHeight="false" outlineLevel="0" collapsed="false">
      <c r="A25" s="33" t="n">
        <v>1024</v>
      </c>
      <c r="B25" s="34" t="n">
        <v>46050</v>
      </c>
      <c r="C25" s="33" t="s">
        <v>92</v>
      </c>
      <c r="D25" s="33" t="s">
        <v>60</v>
      </c>
      <c r="E25" s="33" t="s">
        <v>63</v>
      </c>
      <c r="F25" s="33" t="s">
        <v>73</v>
      </c>
      <c r="G25" s="33" t="s">
        <v>72</v>
      </c>
      <c r="H25" s="33" t="n">
        <v>5</v>
      </c>
      <c r="I25" s="35" t="n">
        <v>35</v>
      </c>
      <c r="J25" s="36" t="n">
        <v>0.15</v>
      </c>
      <c r="K25" s="37" t="n">
        <f aca="false">H25*I25*(1-J25)</f>
        <v>148.75</v>
      </c>
      <c r="L25" s="33" t="s">
        <v>103</v>
      </c>
    </row>
    <row r="26" customFormat="false" ht="15" hidden="false" customHeight="false" outlineLevel="0" collapsed="false">
      <c r="A26" s="33" t="n">
        <v>1025</v>
      </c>
      <c r="B26" s="34" t="n">
        <v>46051</v>
      </c>
      <c r="C26" s="33" t="s">
        <v>87</v>
      </c>
      <c r="D26" s="33" t="s">
        <v>62</v>
      </c>
      <c r="E26" s="33" t="s">
        <v>61</v>
      </c>
      <c r="F26" s="33" t="s">
        <v>69</v>
      </c>
      <c r="G26" s="33" t="s">
        <v>74</v>
      </c>
      <c r="H26" s="33" t="n">
        <v>4</v>
      </c>
      <c r="I26" s="35" t="n">
        <v>70</v>
      </c>
      <c r="J26" s="36" t="n">
        <v>0.05</v>
      </c>
      <c r="K26" s="37" t="n">
        <f aca="false">H26*I26*(1-J26)</f>
        <v>266</v>
      </c>
      <c r="L26" s="33" t="s">
        <v>100</v>
      </c>
    </row>
    <row r="27" customFormat="false" ht="15" hidden="false" customHeight="false" outlineLevel="0" collapsed="false">
      <c r="A27" s="33" t="n">
        <v>1026</v>
      </c>
      <c r="B27" s="34" t="n">
        <v>46053</v>
      </c>
      <c r="C27" s="33" t="s">
        <v>89</v>
      </c>
      <c r="D27" s="33" t="s">
        <v>62</v>
      </c>
      <c r="E27" s="33" t="s">
        <v>57</v>
      </c>
      <c r="F27" s="33" t="s">
        <v>71</v>
      </c>
      <c r="G27" s="33" t="s">
        <v>74</v>
      </c>
      <c r="H27" s="33" t="n">
        <v>4</v>
      </c>
      <c r="I27" s="35" t="n">
        <v>45</v>
      </c>
      <c r="J27" s="36" t="n">
        <v>0.15</v>
      </c>
      <c r="K27" s="37" t="n">
        <f aca="false">H27*I27*(1-J27)</f>
        <v>153</v>
      </c>
      <c r="L27" s="33" t="s">
        <v>103</v>
      </c>
    </row>
    <row r="28" customFormat="false" ht="15" hidden="false" customHeight="false" outlineLevel="0" collapsed="false">
      <c r="A28" s="33" t="n">
        <v>1027</v>
      </c>
      <c r="B28" s="34" t="n">
        <v>46054</v>
      </c>
      <c r="C28" s="33" t="s">
        <v>85</v>
      </c>
      <c r="D28" s="33" t="s">
        <v>60</v>
      </c>
      <c r="E28" s="33" t="s">
        <v>59</v>
      </c>
      <c r="F28" s="33" t="s">
        <v>71</v>
      </c>
      <c r="G28" s="33" t="s">
        <v>70</v>
      </c>
      <c r="H28" s="33" t="n">
        <v>4</v>
      </c>
      <c r="I28" s="35" t="n">
        <v>180</v>
      </c>
      <c r="J28" s="36" t="n">
        <v>0</v>
      </c>
      <c r="K28" s="37" t="n">
        <f aca="false">H28*I28*(1-J28)</f>
        <v>720</v>
      </c>
      <c r="L28" s="33" t="s">
        <v>100</v>
      </c>
    </row>
    <row r="29" customFormat="false" ht="15" hidden="false" customHeight="false" outlineLevel="0" collapsed="false">
      <c r="A29" s="33" t="n">
        <v>1028</v>
      </c>
      <c r="B29" s="34" t="n">
        <v>46055</v>
      </c>
      <c r="C29" s="33" t="s">
        <v>90</v>
      </c>
      <c r="D29" s="33" t="s">
        <v>58</v>
      </c>
      <c r="E29" s="33" t="s">
        <v>57</v>
      </c>
      <c r="F29" s="33" t="s">
        <v>69</v>
      </c>
      <c r="G29" s="33" t="s">
        <v>70</v>
      </c>
      <c r="H29" s="33" t="n">
        <v>3</v>
      </c>
      <c r="I29" s="35" t="n">
        <v>95</v>
      </c>
      <c r="J29" s="36" t="n">
        <v>0</v>
      </c>
      <c r="K29" s="37" t="n">
        <f aca="false">H29*I29*(1-J29)</f>
        <v>285</v>
      </c>
      <c r="L29" s="33" t="s">
        <v>103</v>
      </c>
    </row>
    <row r="30" customFormat="false" ht="15" hidden="false" customHeight="false" outlineLevel="0" collapsed="false">
      <c r="A30" s="33" t="n">
        <v>1029</v>
      </c>
      <c r="B30" s="34" t="n">
        <v>46056</v>
      </c>
      <c r="C30" s="33" t="s">
        <v>86</v>
      </c>
      <c r="D30" s="33" t="s">
        <v>58</v>
      </c>
      <c r="E30" s="33" t="s">
        <v>61</v>
      </c>
      <c r="F30" s="33" t="s">
        <v>69</v>
      </c>
      <c r="G30" s="33" t="s">
        <v>70</v>
      </c>
      <c r="H30" s="33" t="n">
        <v>3</v>
      </c>
      <c r="I30" s="35" t="n">
        <v>350</v>
      </c>
      <c r="J30" s="36" t="n">
        <v>0</v>
      </c>
      <c r="K30" s="37" t="n">
        <f aca="false">H30*I30*(1-J30)</f>
        <v>1050</v>
      </c>
      <c r="L30" s="33" t="s">
        <v>103</v>
      </c>
    </row>
    <row r="31" customFormat="false" ht="15" hidden="false" customHeight="false" outlineLevel="0" collapsed="false">
      <c r="A31" s="33" t="n">
        <v>1030</v>
      </c>
      <c r="B31" s="34" t="n">
        <v>46058</v>
      </c>
      <c r="C31" s="33" t="s">
        <v>85</v>
      </c>
      <c r="D31" s="33" t="s">
        <v>60</v>
      </c>
      <c r="E31" s="33" t="s">
        <v>61</v>
      </c>
      <c r="F31" s="33" t="s">
        <v>69</v>
      </c>
      <c r="G31" s="33" t="s">
        <v>70</v>
      </c>
      <c r="H31" s="33" t="n">
        <v>4</v>
      </c>
      <c r="I31" s="35" t="n">
        <v>180</v>
      </c>
      <c r="J31" s="36" t="n">
        <v>0.1</v>
      </c>
      <c r="K31" s="37" t="n">
        <f aca="false">H31*I31*(1-J31)</f>
        <v>648</v>
      </c>
      <c r="L31" s="33" t="s">
        <v>102</v>
      </c>
    </row>
    <row r="32" customFormat="false" ht="15" hidden="false" customHeight="false" outlineLevel="0" collapsed="false">
      <c r="A32" s="33" t="n">
        <v>1031</v>
      </c>
      <c r="B32" s="34" t="n">
        <v>46059</v>
      </c>
      <c r="C32" s="33" t="s">
        <v>82</v>
      </c>
      <c r="D32" s="33" t="s">
        <v>56</v>
      </c>
      <c r="E32" s="33" t="s">
        <v>57</v>
      </c>
      <c r="F32" s="33" t="s">
        <v>71</v>
      </c>
      <c r="G32" s="33" t="s">
        <v>72</v>
      </c>
      <c r="H32" s="33" t="n">
        <v>2</v>
      </c>
      <c r="I32" s="35" t="n">
        <v>650</v>
      </c>
      <c r="J32" s="36" t="n">
        <v>0.15</v>
      </c>
      <c r="K32" s="37" t="n">
        <f aca="false">H32*I32*(1-J32)</f>
        <v>1105</v>
      </c>
      <c r="L32" s="33" t="s">
        <v>102</v>
      </c>
    </row>
    <row r="33" customFormat="false" ht="15" hidden="false" customHeight="false" outlineLevel="0" collapsed="false">
      <c r="A33" s="33" t="n">
        <v>1032</v>
      </c>
      <c r="B33" s="34" t="n">
        <v>46060</v>
      </c>
      <c r="C33" s="33" t="s">
        <v>88</v>
      </c>
      <c r="D33" s="33" t="s">
        <v>56</v>
      </c>
      <c r="E33" s="33" t="s">
        <v>63</v>
      </c>
      <c r="F33" s="33" t="s">
        <v>69</v>
      </c>
      <c r="G33" s="33" t="s">
        <v>72</v>
      </c>
      <c r="H33" s="33" t="n">
        <v>1</v>
      </c>
      <c r="I33" s="35" t="n">
        <v>80</v>
      </c>
      <c r="J33" s="36" t="n">
        <v>0.2</v>
      </c>
      <c r="K33" s="37" t="n">
        <f aca="false">H33*I33*(1-J33)</f>
        <v>64</v>
      </c>
      <c r="L33" s="33" t="s">
        <v>100</v>
      </c>
    </row>
    <row r="34" customFormat="false" ht="15" hidden="false" customHeight="false" outlineLevel="0" collapsed="false">
      <c r="A34" s="33" t="n">
        <v>1033</v>
      </c>
      <c r="B34" s="34" t="n">
        <v>46061</v>
      </c>
      <c r="C34" s="33" t="s">
        <v>84</v>
      </c>
      <c r="D34" s="33" t="s">
        <v>56</v>
      </c>
      <c r="E34" s="33" t="s">
        <v>61</v>
      </c>
      <c r="F34" s="33" t="s">
        <v>73</v>
      </c>
      <c r="G34" s="33" t="s">
        <v>70</v>
      </c>
      <c r="H34" s="33" t="n">
        <v>2</v>
      </c>
      <c r="I34" s="35" t="n">
        <v>420</v>
      </c>
      <c r="J34" s="36" t="n">
        <v>0.15</v>
      </c>
      <c r="K34" s="37" t="n">
        <f aca="false">H34*I34*(1-J34)</f>
        <v>714</v>
      </c>
      <c r="L34" s="33" t="s">
        <v>101</v>
      </c>
    </row>
    <row r="35" customFormat="false" ht="15" hidden="false" customHeight="false" outlineLevel="0" collapsed="false">
      <c r="A35" s="33" t="n">
        <v>1034</v>
      </c>
      <c r="B35" s="34" t="n">
        <v>46062</v>
      </c>
      <c r="C35" s="33" t="s">
        <v>82</v>
      </c>
      <c r="D35" s="33" t="s">
        <v>56</v>
      </c>
      <c r="E35" s="33" t="s">
        <v>61</v>
      </c>
      <c r="F35" s="33" t="s">
        <v>71</v>
      </c>
      <c r="G35" s="33" t="s">
        <v>70</v>
      </c>
      <c r="H35" s="33" t="n">
        <v>1</v>
      </c>
      <c r="I35" s="35" t="n">
        <v>650</v>
      </c>
      <c r="J35" s="36" t="n">
        <v>0.1</v>
      </c>
      <c r="K35" s="37" t="n">
        <f aca="false">H35*I35*(1-J35)</f>
        <v>585</v>
      </c>
      <c r="L35" s="33" t="s">
        <v>101</v>
      </c>
    </row>
    <row r="36" customFormat="false" ht="15" hidden="false" customHeight="false" outlineLevel="0" collapsed="false">
      <c r="A36" s="33" t="n">
        <v>1035</v>
      </c>
      <c r="B36" s="34" t="n">
        <v>46064</v>
      </c>
      <c r="C36" s="33" t="s">
        <v>85</v>
      </c>
      <c r="D36" s="33" t="s">
        <v>60</v>
      </c>
      <c r="E36" s="33" t="s">
        <v>57</v>
      </c>
      <c r="F36" s="33" t="s">
        <v>73</v>
      </c>
      <c r="G36" s="33" t="s">
        <v>70</v>
      </c>
      <c r="H36" s="33" t="n">
        <v>4</v>
      </c>
      <c r="I36" s="35" t="n">
        <v>180</v>
      </c>
      <c r="J36" s="36" t="n">
        <v>0.1</v>
      </c>
      <c r="K36" s="37" t="n">
        <f aca="false">H36*I36*(1-J36)</f>
        <v>648</v>
      </c>
      <c r="L36" s="33" t="s">
        <v>103</v>
      </c>
    </row>
    <row r="37" customFormat="false" ht="15" hidden="false" customHeight="false" outlineLevel="0" collapsed="false">
      <c r="A37" s="33" t="n">
        <v>1036</v>
      </c>
      <c r="B37" s="34" t="n">
        <v>46065</v>
      </c>
      <c r="C37" s="33" t="s">
        <v>87</v>
      </c>
      <c r="D37" s="33" t="s">
        <v>62</v>
      </c>
      <c r="E37" s="33" t="s">
        <v>61</v>
      </c>
      <c r="F37" s="33" t="s">
        <v>71</v>
      </c>
      <c r="G37" s="33" t="s">
        <v>74</v>
      </c>
      <c r="H37" s="33" t="n">
        <v>5</v>
      </c>
      <c r="I37" s="35" t="n">
        <v>70</v>
      </c>
      <c r="J37" s="36" t="n">
        <v>0.15</v>
      </c>
      <c r="K37" s="37" t="n">
        <f aca="false">H37*I37*(1-J37)</f>
        <v>297.5</v>
      </c>
      <c r="L37" s="33" t="s">
        <v>103</v>
      </c>
    </row>
    <row r="38" customFormat="false" ht="15" hidden="false" customHeight="false" outlineLevel="0" collapsed="false">
      <c r="A38" s="33" t="n">
        <v>1037</v>
      </c>
      <c r="B38" s="34" t="n">
        <v>46066</v>
      </c>
      <c r="C38" s="33" t="s">
        <v>82</v>
      </c>
      <c r="D38" s="33" t="s">
        <v>56</v>
      </c>
      <c r="E38" s="33" t="s">
        <v>59</v>
      </c>
      <c r="F38" s="33" t="s">
        <v>71</v>
      </c>
      <c r="G38" s="33" t="s">
        <v>70</v>
      </c>
      <c r="H38" s="33" t="n">
        <v>1</v>
      </c>
      <c r="I38" s="35" t="n">
        <v>650</v>
      </c>
      <c r="J38" s="36" t="n">
        <v>0.15</v>
      </c>
      <c r="K38" s="37" t="n">
        <f aca="false">H38*I38*(1-J38)</f>
        <v>552.5</v>
      </c>
      <c r="L38" s="33" t="s">
        <v>103</v>
      </c>
    </row>
    <row r="39" customFormat="false" ht="15" hidden="false" customHeight="false" outlineLevel="0" collapsed="false">
      <c r="A39" s="33" t="n">
        <v>1038</v>
      </c>
      <c r="B39" s="34" t="n">
        <v>46067</v>
      </c>
      <c r="C39" s="33" t="s">
        <v>93</v>
      </c>
      <c r="D39" s="33" t="s">
        <v>62</v>
      </c>
      <c r="E39" s="33" t="s">
        <v>57</v>
      </c>
      <c r="F39" s="33" t="s">
        <v>73</v>
      </c>
      <c r="G39" s="33" t="s">
        <v>74</v>
      </c>
      <c r="H39" s="33" t="n">
        <v>4</v>
      </c>
      <c r="I39" s="35" t="n">
        <v>25</v>
      </c>
      <c r="J39" s="36" t="n">
        <v>0.1</v>
      </c>
      <c r="K39" s="37" t="n">
        <f aca="false">H39*I39*(1-J39)</f>
        <v>90</v>
      </c>
      <c r="L39" s="33" t="s">
        <v>103</v>
      </c>
    </row>
    <row r="40" customFormat="false" ht="15" hidden="false" customHeight="false" outlineLevel="0" collapsed="false">
      <c r="A40" s="33" t="n">
        <v>1039</v>
      </c>
      <c r="B40" s="34" t="n">
        <v>46068</v>
      </c>
      <c r="C40" s="33" t="s">
        <v>88</v>
      </c>
      <c r="D40" s="33" t="s">
        <v>56</v>
      </c>
      <c r="E40" s="33" t="s">
        <v>63</v>
      </c>
      <c r="F40" s="33" t="s">
        <v>69</v>
      </c>
      <c r="G40" s="33" t="s">
        <v>72</v>
      </c>
      <c r="H40" s="33" t="n">
        <v>4</v>
      </c>
      <c r="I40" s="35" t="n">
        <v>80</v>
      </c>
      <c r="J40" s="36" t="n">
        <v>0.15</v>
      </c>
      <c r="K40" s="37" t="n">
        <f aca="false">H40*I40*(1-J40)</f>
        <v>272</v>
      </c>
      <c r="L40" s="33" t="s">
        <v>102</v>
      </c>
    </row>
    <row r="41" customFormat="false" ht="15" hidden="false" customHeight="false" outlineLevel="0" collapsed="false">
      <c r="A41" s="33" t="n">
        <v>1040</v>
      </c>
      <c r="B41" s="34" t="n">
        <v>46070</v>
      </c>
      <c r="C41" s="33" t="s">
        <v>83</v>
      </c>
      <c r="D41" s="33" t="s">
        <v>58</v>
      </c>
      <c r="E41" s="33" t="s">
        <v>57</v>
      </c>
      <c r="F41" s="33" t="s">
        <v>69</v>
      </c>
      <c r="G41" s="33" t="s">
        <v>70</v>
      </c>
      <c r="H41" s="33" t="n">
        <v>1</v>
      </c>
      <c r="I41" s="35" t="n">
        <v>280</v>
      </c>
      <c r="J41" s="36" t="n">
        <v>0.1</v>
      </c>
      <c r="K41" s="37" t="n">
        <f aca="false">H41*I41*(1-J41)</f>
        <v>252</v>
      </c>
      <c r="L41" s="33" t="s">
        <v>102</v>
      </c>
    </row>
    <row r="42" customFormat="false" ht="15" hidden="false" customHeight="false" outlineLevel="0" collapsed="false">
      <c r="A42" s="33" t="n">
        <v>1041</v>
      </c>
      <c r="B42" s="34" t="n">
        <v>46071</v>
      </c>
      <c r="C42" s="33" t="s">
        <v>86</v>
      </c>
      <c r="D42" s="33" t="s">
        <v>58</v>
      </c>
      <c r="E42" s="33" t="s">
        <v>59</v>
      </c>
      <c r="F42" s="33" t="s">
        <v>71</v>
      </c>
      <c r="G42" s="33" t="s">
        <v>70</v>
      </c>
      <c r="H42" s="33" t="n">
        <v>2</v>
      </c>
      <c r="I42" s="35" t="n">
        <v>350</v>
      </c>
      <c r="J42" s="36" t="n">
        <v>0.1</v>
      </c>
      <c r="K42" s="37" t="n">
        <f aca="false">H42*I42*(1-J42)</f>
        <v>630</v>
      </c>
      <c r="L42" s="33" t="s">
        <v>101</v>
      </c>
    </row>
    <row r="43" customFormat="false" ht="15" hidden="false" customHeight="false" outlineLevel="0" collapsed="false">
      <c r="A43" s="33" t="n">
        <v>1042</v>
      </c>
      <c r="B43" s="34" t="n">
        <v>46072</v>
      </c>
      <c r="C43" s="33" t="s">
        <v>91</v>
      </c>
      <c r="D43" s="33" t="s">
        <v>60</v>
      </c>
      <c r="E43" s="33" t="s">
        <v>63</v>
      </c>
      <c r="F43" s="33" t="s">
        <v>71</v>
      </c>
      <c r="G43" s="33" t="s">
        <v>70</v>
      </c>
      <c r="H43" s="33" t="n">
        <v>1</v>
      </c>
      <c r="I43" s="35" t="n">
        <v>30</v>
      </c>
      <c r="J43" s="36" t="n">
        <v>0.05</v>
      </c>
      <c r="K43" s="37" t="n">
        <f aca="false">H43*I43*(1-J43)</f>
        <v>28.5</v>
      </c>
      <c r="L43" s="33" t="s">
        <v>100</v>
      </c>
    </row>
    <row r="44" customFormat="false" ht="15" hidden="false" customHeight="false" outlineLevel="0" collapsed="false">
      <c r="A44" s="33" t="n">
        <v>1043</v>
      </c>
      <c r="B44" s="34" t="n">
        <v>46073</v>
      </c>
      <c r="C44" s="33" t="s">
        <v>92</v>
      </c>
      <c r="D44" s="33" t="s">
        <v>60</v>
      </c>
      <c r="E44" s="33" t="s">
        <v>59</v>
      </c>
      <c r="F44" s="33" t="s">
        <v>73</v>
      </c>
      <c r="G44" s="33" t="s">
        <v>72</v>
      </c>
      <c r="H44" s="33" t="n">
        <v>1</v>
      </c>
      <c r="I44" s="35" t="n">
        <v>35</v>
      </c>
      <c r="J44" s="36" t="n">
        <v>0</v>
      </c>
      <c r="K44" s="37" t="n">
        <f aca="false">H44*I44*(1-J44)</f>
        <v>35</v>
      </c>
      <c r="L44" s="33" t="s">
        <v>101</v>
      </c>
    </row>
    <row r="45" customFormat="false" ht="15" hidden="false" customHeight="false" outlineLevel="0" collapsed="false">
      <c r="A45" s="33" t="n">
        <v>1044</v>
      </c>
      <c r="B45" s="34" t="n">
        <v>46074</v>
      </c>
      <c r="C45" s="33" t="s">
        <v>83</v>
      </c>
      <c r="D45" s="33" t="s">
        <v>58</v>
      </c>
      <c r="E45" s="33" t="s">
        <v>59</v>
      </c>
      <c r="F45" s="33" t="s">
        <v>69</v>
      </c>
      <c r="G45" s="33" t="s">
        <v>74</v>
      </c>
      <c r="H45" s="33" t="n">
        <v>1</v>
      </c>
      <c r="I45" s="35" t="n">
        <v>280</v>
      </c>
      <c r="J45" s="36" t="n">
        <v>0.15</v>
      </c>
      <c r="K45" s="37" t="n">
        <f aca="false">H45*I45*(1-J45)</f>
        <v>238</v>
      </c>
      <c r="L45" s="33" t="s">
        <v>101</v>
      </c>
    </row>
    <row r="46" customFormat="false" ht="15" hidden="false" customHeight="false" outlineLevel="0" collapsed="false">
      <c r="A46" s="33" t="n">
        <v>1045</v>
      </c>
      <c r="B46" s="34" t="n">
        <v>46076</v>
      </c>
      <c r="C46" s="33" t="s">
        <v>93</v>
      </c>
      <c r="D46" s="33" t="s">
        <v>62</v>
      </c>
      <c r="E46" s="33" t="s">
        <v>59</v>
      </c>
      <c r="F46" s="33" t="s">
        <v>69</v>
      </c>
      <c r="G46" s="33" t="s">
        <v>70</v>
      </c>
      <c r="H46" s="33" t="n">
        <v>3</v>
      </c>
      <c r="I46" s="35" t="n">
        <v>25</v>
      </c>
      <c r="J46" s="36" t="n">
        <v>0</v>
      </c>
      <c r="K46" s="37" t="n">
        <f aca="false">H46*I46*(1-J46)</f>
        <v>75</v>
      </c>
      <c r="L46" s="33" t="s">
        <v>102</v>
      </c>
    </row>
    <row r="47" customFormat="false" ht="15" hidden="false" customHeight="false" outlineLevel="0" collapsed="false">
      <c r="A47" s="33" t="n">
        <v>1046</v>
      </c>
      <c r="B47" s="34" t="n">
        <v>46077</v>
      </c>
      <c r="C47" s="33" t="s">
        <v>84</v>
      </c>
      <c r="D47" s="33" t="s">
        <v>56</v>
      </c>
      <c r="E47" s="33" t="s">
        <v>57</v>
      </c>
      <c r="F47" s="33" t="s">
        <v>69</v>
      </c>
      <c r="G47" s="33" t="s">
        <v>70</v>
      </c>
      <c r="H47" s="33" t="n">
        <v>2</v>
      </c>
      <c r="I47" s="35" t="n">
        <v>420</v>
      </c>
      <c r="J47" s="36" t="n">
        <v>0.1</v>
      </c>
      <c r="K47" s="37" t="n">
        <f aca="false">H47*I47*(1-J47)</f>
        <v>756</v>
      </c>
      <c r="L47" s="33" t="s">
        <v>101</v>
      </c>
    </row>
    <row r="48" customFormat="false" ht="15" hidden="false" customHeight="false" outlineLevel="0" collapsed="false">
      <c r="A48" s="33" t="n">
        <v>1047</v>
      </c>
      <c r="B48" s="34" t="n">
        <v>46078</v>
      </c>
      <c r="C48" s="33" t="s">
        <v>82</v>
      </c>
      <c r="D48" s="33" t="s">
        <v>56</v>
      </c>
      <c r="E48" s="33" t="s">
        <v>61</v>
      </c>
      <c r="F48" s="33" t="s">
        <v>69</v>
      </c>
      <c r="G48" s="33" t="s">
        <v>72</v>
      </c>
      <c r="H48" s="33" t="n">
        <v>4</v>
      </c>
      <c r="I48" s="35" t="n">
        <v>650</v>
      </c>
      <c r="J48" s="36" t="n">
        <v>0</v>
      </c>
      <c r="K48" s="37" t="n">
        <f aca="false">H48*I48*(1-J48)</f>
        <v>2600</v>
      </c>
      <c r="L48" s="33" t="s">
        <v>103</v>
      </c>
    </row>
    <row r="49" customFormat="false" ht="15" hidden="false" customHeight="false" outlineLevel="0" collapsed="false">
      <c r="A49" s="33" t="n">
        <v>1048</v>
      </c>
      <c r="B49" s="34" t="n">
        <v>46079</v>
      </c>
      <c r="C49" s="33" t="s">
        <v>82</v>
      </c>
      <c r="D49" s="33" t="s">
        <v>56</v>
      </c>
      <c r="E49" s="33" t="s">
        <v>59</v>
      </c>
      <c r="F49" s="33" t="s">
        <v>73</v>
      </c>
      <c r="G49" s="33" t="s">
        <v>74</v>
      </c>
      <c r="H49" s="33" t="n">
        <v>1</v>
      </c>
      <c r="I49" s="35" t="n">
        <v>650</v>
      </c>
      <c r="J49" s="36" t="n">
        <v>0.15</v>
      </c>
      <c r="K49" s="37" t="n">
        <f aca="false">H49*I49*(1-J49)</f>
        <v>552.5</v>
      </c>
      <c r="L49" s="33" t="s">
        <v>103</v>
      </c>
    </row>
    <row r="50" customFormat="false" ht="15" hidden="false" customHeight="false" outlineLevel="0" collapsed="false">
      <c r="A50" s="33" t="n">
        <v>1049</v>
      </c>
      <c r="B50" s="34" t="n">
        <v>46080</v>
      </c>
      <c r="C50" s="33" t="s">
        <v>87</v>
      </c>
      <c r="D50" s="33" t="s">
        <v>62</v>
      </c>
      <c r="E50" s="33" t="s">
        <v>61</v>
      </c>
      <c r="F50" s="33" t="s">
        <v>73</v>
      </c>
      <c r="G50" s="33" t="s">
        <v>72</v>
      </c>
      <c r="H50" s="33" t="n">
        <v>5</v>
      </c>
      <c r="I50" s="35" t="n">
        <v>70</v>
      </c>
      <c r="J50" s="36" t="n">
        <v>0.1</v>
      </c>
      <c r="K50" s="37" t="n">
        <f aca="false">H50*I50*(1-J50)</f>
        <v>315</v>
      </c>
      <c r="L50" s="33" t="s">
        <v>102</v>
      </c>
    </row>
    <row r="51" customFormat="false" ht="15" hidden="false" customHeight="false" outlineLevel="0" collapsed="false">
      <c r="A51" s="33" t="n">
        <v>1050</v>
      </c>
      <c r="B51" s="34" t="n">
        <v>46082</v>
      </c>
      <c r="C51" s="33" t="s">
        <v>89</v>
      </c>
      <c r="D51" s="33" t="s">
        <v>62</v>
      </c>
      <c r="E51" s="33" t="s">
        <v>59</v>
      </c>
      <c r="F51" s="33" t="s">
        <v>69</v>
      </c>
      <c r="G51" s="33" t="s">
        <v>70</v>
      </c>
      <c r="H51" s="33" t="n">
        <v>1</v>
      </c>
      <c r="I51" s="35" t="n">
        <v>45</v>
      </c>
      <c r="J51" s="36" t="n">
        <v>0.15</v>
      </c>
      <c r="K51" s="37" t="n">
        <f aca="false">H51*I51*(1-J51)</f>
        <v>38.25</v>
      </c>
      <c r="L51" s="33" t="s">
        <v>101</v>
      </c>
    </row>
    <row r="52" customFormat="false" ht="15" hidden="false" customHeight="false" outlineLevel="0" collapsed="false">
      <c r="A52" s="33" t="n">
        <v>1051</v>
      </c>
      <c r="B52" s="34" t="n">
        <v>46083</v>
      </c>
      <c r="C52" s="33" t="s">
        <v>88</v>
      </c>
      <c r="D52" s="33" t="s">
        <v>56</v>
      </c>
      <c r="E52" s="33" t="s">
        <v>57</v>
      </c>
      <c r="F52" s="33" t="s">
        <v>69</v>
      </c>
      <c r="G52" s="33" t="s">
        <v>70</v>
      </c>
      <c r="H52" s="33" t="n">
        <v>4</v>
      </c>
      <c r="I52" s="35" t="n">
        <v>80</v>
      </c>
      <c r="J52" s="36" t="n">
        <v>0.1</v>
      </c>
      <c r="K52" s="37" t="n">
        <f aca="false">H52*I52*(1-J52)</f>
        <v>288</v>
      </c>
      <c r="L52" s="33" t="s">
        <v>101</v>
      </c>
    </row>
    <row r="53" customFormat="false" ht="15" hidden="false" customHeight="false" outlineLevel="0" collapsed="false">
      <c r="A53" s="33" t="n">
        <v>1052</v>
      </c>
      <c r="B53" s="34" t="n">
        <v>46084</v>
      </c>
      <c r="C53" s="33" t="s">
        <v>91</v>
      </c>
      <c r="D53" s="33" t="s">
        <v>60</v>
      </c>
      <c r="E53" s="33" t="s">
        <v>61</v>
      </c>
      <c r="F53" s="33" t="s">
        <v>73</v>
      </c>
      <c r="G53" s="33" t="s">
        <v>70</v>
      </c>
      <c r="H53" s="33" t="n">
        <v>5</v>
      </c>
      <c r="I53" s="35" t="n">
        <v>30</v>
      </c>
      <c r="J53" s="36" t="n">
        <v>0.2</v>
      </c>
      <c r="K53" s="37" t="n">
        <f aca="false">H53*I53*(1-J53)</f>
        <v>120</v>
      </c>
      <c r="L53" s="33" t="s">
        <v>100</v>
      </c>
    </row>
    <row r="54" customFormat="false" ht="15" hidden="false" customHeight="false" outlineLevel="0" collapsed="false">
      <c r="A54" s="33" t="n">
        <v>1053</v>
      </c>
      <c r="B54" s="34" t="n">
        <v>46085</v>
      </c>
      <c r="C54" s="33" t="s">
        <v>83</v>
      </c>
      <c r="D54" s="33" t="s">
        <v>58</v>
      </c>
      <c r="E54" s="33" t="s">
        <v>61</v>
      </c>
      <c r="F54" s="33" t="s">
        <v>69</v>
      </c>
      <c r="G54" s="33" t="s">
        <v>72</v>
      </c>
      <c r="H54" s="33" t="n">
        <v>5</v>
      </c>
      <c r="I54" s="35" t="n">
        <v>280</v>
      </c>
      <c r="J54" s="36" t="n">
        <v>0</v>
      </c>
      <c r="K54" s="37" t="n">
        <f aca="false">H54*I54*(1-J54)</f>
        <v>1400</v>
      </c>
      <c r="L54" s="33" t="s">
        <v>103</v>
      </c>
    </row>
    <row r="55" customFormat="false" ht="15" hidden="false" customHeight="false" outlineLevel="0" collapsed="false">
      <c r="A55" s="33" t="n">
        <v>1054</v>
      </c>
      <c r="B55" s="34" t="n">
        <v>46087</v>
      </c>
      <c r="C55" s="33" t="s">
        <v>91</v>
      </c>
      <c r="D55" s="33" t="s">
        <v>60</v>
      </c>
      <c r="E55" s="33" t="s">
        <v>59</v>
      </c>
      <c r="F55" s="33" t="s">
        <v>69</v>
      </c>
      <c r="G55" s="33" t="s">
        <v>70</v>
      </c>
      <c r="H55" s="33" t="n">
        <v>1</v>
      </c>
      <c r="I55" s="35" t="n">
        <v>30</v>
      </c>
      <c r="J55" s="36" t="n">
        <v>0.15</v>
      </c>
      <c r="K55" s="37" t="n">
        <f aca="false">H55*I55*(1-J55)</f>
        <v>25.5</v>
      </c>
      <c r="L55" s="33" t="s">
        <v>101</v>
      </c>
    </row>
    <row r="56" customFormat="false" ht="15" hidden="false" customHeight="false" outlineLevel="0" collapsed="false">
      <c r="A56" s="33" t="n">
        <v>1055</v>
      </c>
      <c r="B56" s="34" t="n">
        <v>46088</v>
      </c>
      <c r="C56" s="33" t="s">
        <v>86</v>
      </c>
      <c r="D56" s="33" t="s">
        <v>58</v>
      </c>
      <c r="E56" s="33" t="s">
        <v>57</v>
      </c>
      <c r="F56" s="33" t="s">
        <v>71</v>
      </c>
      <c r="G56" s="33" t="s">
        <v>70</v>
      </c>
      <c r="H56" s="33" t="n">
        <v>1</v>
      </c>
      <c r="I56" s="35" t="n">
        <v>350</v>
      </c>
      <c r="J56" s="36" t="n">
        <v>0.1</v>
      </c>
      <c r="K56" s="37" t="n">
        <f aca="false">H56*I56*(1-J56)</f>
        <v>315</v>
      </c>
      <c r="L56" s="33" t="s">
        <v>102</v>
      </c>
    </row>
    <row r="57" customFormat="false" ht="15" hidden="false" customHeight="false" outlineLevel="0" collapsed="false">
      <c r="A57" s="33" t="n">
        <v>1056</v>
      </c>
      <c r="B57" s="34" t="n">
        <v>46089</v>
      </c>
      <c r="C57" s="33" t="s">
        <v>87</v>
      </c>
      <c r="D57" s="33" t="s">
        <v>62</v>
      </c>
      <c r="E57" s="33" t="s">
        <v>57</v>
      </c>
      <c r="F57" s="33" t="s">
        <v>71</v>
      </c>
      <c r="G57" s="33" t="s">
        <v>74</v>
      </c>
      <c r="H57" s="33" t="n">
        <v>2</v>
      </c>
      <c r="I57" s="35" t="n">
        <v>70</v>
      </c>
      <c r="J57" s="36" t="n">
        <v>0.1</v>
      </c>
      <c r="K57" s="37" t="n">
        <f aca="false">H57*I57*(1-J57)</f>
        <v>126</v>
      </c>
      <c r="L57" s="33" t="s">
        <v>101</v>
      </c>
    </row>
    <row r="58" customFormat="false" ht="15" hidden="false" customHeight="false" outlineLevel="0" collapsed="false">
      <c r="A58" s="33" t="n">
        <v>1057</v>
      </c>
      <c r="B58" s="34" t="n">
        <v>46090</v>
      </c>
      <c r="C58" s="33" t="s">
        <v>87</v>
      </c>
      <c r="D58" s="33" t="s">
        <v>62</v>
      </c>
      <c r="E58" s="33" t="s">
        <v>61</v>
      </c>
      <c r="F58" s="33" t="s">
        <v>71</v>
      </c>
      <c r="G58" s="33" t="s">
        <v>74</v>
      </c>
      <c r="H58" s="33" t="n">
        <v>2</v>
      </c>
      <c r="I58" s="35" t="n">
        <v>70</v>
      </c>
      <c r="J58" s="36" t="n">
        <v>0.1</v>
      </c>
      <c r="K58" s="37" t="n">
        <f aca="false">H58*I58*(1-J58)</f>
        <v>126</v>
      </c>
      <c r="L58" s="33" t="s">
        <v>100</v>
      </c>
    </row>
    <row r="59" customFormat="false" ht="15" hidden="false" customHeight="false" outlineLevel="0" collapsed="false">
      <c r="A59" s="33" t="n">
        <v>1058</v>
      </c>
      <c r="B59" s="34" t="n">
        <v>46091</v>
      </c>
      <c r="C59" s="33" t="s">
        <v>83</v>
      </c>
      <c r="D59" s="33" t="s">
        <v>58</v>
      </c>
      <c r="E59" s="33" t="s">
        <v>59</v>
      </c>
      <c r="F59" s="33" t="s">
        <v>71</v>
      </c>
      <c r="G59" s="33" t="s">
        <v>72</v>
      </c>
      <c r="H59" s="33" t="n">
        <v>1</v>
      </c>
      <c r="I59" s="35" t="n">
        <v>280</v>
      </c>
      <c r="J59" s="36" t="n">
        <v>0</v>
      </c>
      <c r="K59" s="37" t="n">
        <f aca="false">H59*I59*(1-J59)</f>
        <v>280</v>
      </c>
      <c r="L59" s="33" t="s">
        <v>100</v>
      </c>
    </row>
    <row r="60" customFormat="false" ht="15" hidden="false" customHeight="false" outlineLevel="0" collapsed="false">
      <c r="A60" s="33" t="n">
        <v>1059</v>
      </c>
      <c r="B60" s="34" t="n">
        <v>46093</v>
      </c>
      <c r="C60" s="33" t="s">
        <v>85</v>
      </c>
      <c r="D60" s="33" t="s">
        <v>60</v>
      </c>
      <c r="E60" s="33" t="s">
        <v>61</v>
      </c>
      <c r="F60" s="33" t="s">
        <v>69</v>
      </c>
      <c r="G60" s="33" t="s">
        <v>70</v>
      </c>
      <c r="H60" s="33" t="n">
        <v>2</v>
      </c>
      <c r="I60" s="35" t="n">
        <v>180</v>
      </c>
      <c r="J60" s="36" t="n">
        <v>0.1</v>
      </c>
      <c r="K60" s="37" t="n">
        <f aca="false">H60*I60*(1-J60)</f>
        <v>324</v>
      </c>
      <c r="L60" s="33" t="s">
        <v>101</v>
      </c>
    </row>
    <row r="61" customFormat="false" ht="15" hidden="false" customHeight="false" outlineLevel="0" collapsed="false">
      <c r="A61" s="33" t="n">
        <v>1060</v>
      </c>
      <c r="B61" s="34" t="n">
        <v>46094</v>
      </c>
      <c r="C61" s="33" t="s">
        <v>85</v>
      </c>
      <c r="D61" s="33" t="s">
        <v>60</v>
      </c>
      <c r="E61" s="33" t="s">
        <v>63</v>
      </c>
      <c r="F61" s="33" t="s">
        <v>69</v>
      </c>
      <c r="G61" s="33" t="s">
        <v>74</v>
      </c>
      <c r="H61" s="33" t="n">
        <v>1</v>
      </c>
      <c r="I61" s="35" t="n">
        <v>180</v>
      </c>
      <c r="J61" s="36" t="n">
        <v>0.15</v>
      </c>
      <c r="K61" s="37" t="n">
        <f aca="false">H61*I61*(1-J61)</f>
        <v>153</v>
      </c>
      <c r="L61" s="33" t="s">
        <v>101</v>
      </c>
    </row>
    <row r="62" customFormat="false" ht="15" hidden="false" customHeight="false" outlineLevel="0" collapsed="false">
      <c r="A62" s="33" t="n">
        <v>1061</v>
      </c>
      <c r="B62" s="34" t="n">
        <v>46095</v>
      </c>
      <c r="C62" s="33" t="s">
        <v>91</v>
      </c>
      <c r="D62" s="33" t="s">
        <v>60</v>
      </c>
      <c r="E62" s="33" t="s">
        <v>61</v>
      </c>
      <c r="F62" s="33" t="s">
        <v>71</v>
      </c>
      <c r="G62" s="33" t="s">
        <v>72</v>
      </c>
      <c r="H62" s="33" t="n">
        <v>3</v>
      </c>
      <c r="I62" s="35" t="n">
        <v>30</v>
      </c>
      <c r="J62" s="36" t="n">
        <v>0.15</v>
      </c>
      <c r="K62" s="37" t="n">
        <f aca="false">H62*I62*(1-J62)</f>
        <v>76.5</v>
      </c>
      <c r="L62" s="33" t="s">
        <v>103</v>
      </c>
    </row>
    <row r="63" customFormat="false" ht="15" hidden="false" customHeight="false" outlineLevel="0" collapsed="false">
      <c r="A63" s="33" t="n">
        <v>1062</v>
      </c>
      <c r="B63" s="34" t="n">
        <v>46096</v>
      </c>
      <c r="C63" s="33" t="s">
        <v>87</v>
      </c>
      <c r="D63" s="33" t="s">
        <v>62</v>
      </c>
      <c r="E63" s="33" t="s">
        <v>61</v>
      </c>
      <c r="F63" s="33" t="s">
        <v>73</v>
      </c>
      <c r="G63" s="33" t="s">
        <v>74</v>
      </c>
      <c r="H63" s="33" t="n">
        <v>3</v>
      </c>
      <c r="I63" s="35" t="n">
        <v>70</v>
      </c>
      <c r="J63" s="36" t="n">
        <v>0</v>
      </c>
      <c r="K63" s="37" t="n">
        <f aca="false">H63*I63*(1-J63)</f>
        <v>210</v>
      </c>
      <c r="L63" s="33" t="s">
        <v>100</v>
      </c>
    </row>
    <row r="64" customFormat="false" ht="15" hidden="false" customHeight="false" outlineLevel="0" collapsed="false">
      <c r="A64" s="33" t="n">
        <v>1063</v>
      </c>
      <c r="B64" s="34" t="n">
        <v>46097</v>
      </c>
      <c r="C64" s="33" t="s">
        <v>87</v>
      </c>
      <c r="D64" s="33" t="s">
        <v>62</v>
      </c>
      <c r="E64" s="33" t="s">
        <v>61</v>
      </c>
      <c r="F64" s="33" t="s">
        <v>69</v>
      </c>
      <c r="G64" s="33" t="s">
        <v>74</v>
      </c>
      <c r="H64" s="33" t="n">
        <v>2</v>
      </c>
      <c r="I64" s="35" t="n">
        <v>70</v>
      </c>
      <c r="J64" s="36" t="n">
        <v>0.05</v>
      </c>
      <c r="K64" s="37" t="n">
        <f aca="false">H64*I64*(1-J64)</f>
        <v>133</v>
      </c>
      <c r="L64" s="33" t="s">
        <v>102</v>
      </c>
    </row>
    <row r="65" customFormat="false" ht="15" hidden="false" customHeight="false" outlineLevel="0" collapsed="false">
      <c r="A65" s="33" t="n">
        <v>1064</v>
      </c>
      <c r="B65" s="34" t="n">
        <v>46099</v>
      </c>
      <c r="C65" s="33" t="s">
        <v>87</v>
      </c>
      <c r="D65" s="33" t="s">
        <v>62</v>
      </c>
      <c r="E65" s="33" t="s">
        <v>63</v>
      </c>
      <c r="F65" s="33" t="s">
        <v>69</v>
      </c>
      <c r="G65" s="33" t="s">
        <v>70</v>
      </c>
      <c r="H65" s="33" t="n">
        <v>3</v>
      </c>
      <c r="I65" s="35" t="n">
        <v>70</v>
      </c>
      <c r="J65" s="36" t="n">
        <v>0.15</v>
      </c>
      <c r="K65" s="37" t="n">
        <f aca="false">H65*I65*(1-J65)</f>
        <v>178.5</v>
      </c>
      <c r="L65" s="33" t="s">
        <v>101</v>
      </c>
    </row>
    <row r="66" customFormat="false" ht="15" hidden="false" customHeight="false" outlineLevel="0" collapsed="false">
      <c r="A66" s="33" t="n">
        <v>1065</v>
      </c>
      <c r="B66" s="34" t="n">
        <v>46100</v>
      </c>
      <c r="C66" s="33" t="s">
        <v>91</v>
      </c>
      <c r="D66" s="33" t="s">
        <v>60</v>
      </c>
      <c r="E66" s="33" t="s">
        <v>59</v>
      </c>
      <c r="F66" s="33" t="s">
        <v>71</v>
      </c>
      <c r="G66" s="33" t="s">
        <v>70</v>
      </c>
      <c r="H66" s="33" t="n">
        <v>4</v>
      </c>
      <c r="I66" s="35" t="n">
        <v>30</v>
      </c>
      <c r="J66" s="36" t="n">
        <v>0.2</v>
      </c>
      <c r="K66" s="37" t="n">
        <f aca="false">H66*I66*(1-J66)</f>
        <v>96</v>
      </c>
      <c r="L66" s="33" t="s">
        <v>101</v>
      </c>
    </row>
    <row r="67" customFormat="false" ht="15" hidden="false" customHeight="false" outlineLevel="0" collapsed="false">
      <c r="A67" s="33" t="n">
        <v>1066</v>
      </c>
      <c r="B67" s="34" t="n">
        <v>46101</v>
      </c>
      <c r="C67" s="33" t="s">
        <v>93</v>
      </c>
      <c r="D67" s="33" t="s">
        <v>62</v>
      </c>
      <c r="E67" s="33" t="s">
        <v>57</v>
      </c>
      <c r="F67" s="33" t="s">
        <v>69</v>
      </c>
      <c r="G67" s="33" t="s">
        <v>74</v>
      </c>
      <c r="H67" s="33" t="n">
        <v>3</v>
      </c>
      <c r="I67" s="35" t="n">
        <v>25</v>
      </c>
      <c r="J67" s="36" t="n">
        <v>0.15</v>
      </c>
      <c r="K67" s="37" t="n">
        <f aca="false">H67*I67*(1-J67)</f>
        <v>63.75</v>
      </c>
      <c r="L67" s="33" t="s">
        <v>101</v>
      </c>
    </row>
    <row r="68" customFormat="false" ht="15" hidden="false" customHeight="false" outlineLevel="0" collapsed="false">
      <c r="A68" s="33" t="n">
        <v>1067</v>
      </c>
      <c r="B68" s="34" t="n">
        <v>46102</v>
      </c>
      <c r="C68" s="33" t="s">
        <v>85</v>
      </c>
      <c r="D68" s="33" t="s">
        <v>60</v>
      </c>
      <c r="E68" s="33" t="s">
        <v>57</v>
      </c>
      <c r="F68" s="33" t="s">
        <v>73</v>
      </c>
      <c r="G68" s="33" t="s">
        <v>72</v>
      </c>
      <c r="H68" s="33" t="n">
        <v>3</v>
      </c>
      <c r="I68" s="35" t="n">
        <v>180</v>
      </c>
      <c r="J68" s="36" t="n">
        <v>0</v>
      </c>
      <c r="K68" s="37" t="n">
        <f aca="false">H68*I68*(1-J68)</f>
        <v>540</v>
      </c>
      <c r="L68" s="33" t="s">
        <v>101</v>
      </c>
    </row>
    <row r="69" customFormat="false" ht="15" hidden="false" customHeight="false" outlineLevel="0" collapsed="false">
      <c r="A69" s="33" t="n">
        <v>1068</v>
      </c>
      <c r="B69" s="34" t="n">
        <v>46103</v>
      </c>
      <c r="C69" s="33" t="s">
        <v>85</v>
      </c>
      <c r="D69" s="33" t="s">
        <v>60</v>
      </c>
      <c r="E69" s="33" t="s">
        <v>61</v>
      </c>
      <c r="F69" s="33" t="s">
        <v>69</v>
      </c>
      <c r="G69" s="33" t="s">
        <v>74</v>
      </c>
      <c r="H69" s="33" t="n">
        <v>2</v>
      </c>
      <c r="I69" s="35" t="n">
        <v>180</v>
      </c>
      <c r="J69" s="36" t="n">
        <v>0.2</v>
      </c>
      <c r="K69" s="37" t="n">
        <f aca="false">H69*I69*(1-J69)</f>
        <v>288</v>
      </c>
      <c r="L69" s="33" t="s">
        <v>103</v>
      </c>
    </row>
    <row r="70" customFormat="false" ht="15" hidden="false" customHeight="false" outlineLevel="0" collapsed="false">
      <c r="A70" s="33" t="n">
        <v>1069</v>
      </c>
      <c r="B70" s="34" t="n">
        <v>46105</v>
      </c>
      <c r="C70" s="33" t="s">
        <v>90</v>
      </c>
      <c r="D70" s="33" t="s">
        <v>58</v>
      </c>
      <c r="E70" s="33" t="s">
        <v>63</v>
      </c>
      <c r="F70" s="33" t="s">
        <v>71</v>
      </c>
      <c r="G70" s="33" t="s">
        <v>74</v>
      </c>
      <c r="H70" s="33" t="n">
        <v>4</v>
      </c>
      <c r="I70" s="35" t="n">
        <v>95</v>
      </c>
      <c r="J70" s="36" t="n">
        <v>0.2</v>
      </c>
      <c r="K70" s="37" t="n">
        <f aca="false">H70*I70*(1-J70)</f>
        <v>304</v>
      </c>
      <c r="L70" s="33" t="s">
        <v>100</v>
      </c>
    </row>
    <row r="71" customFormat="false" ht="15" hidden="false" customHeight="false" outlineLevel="0" collapsed="false">
      <c r="A71" s="33" t="n">
        <v>1070</v>
      </c>
      <c r="B71" s="34" t="n">
        <v>46106</v>
      </c>
      <c r="C71" s="33" t="s">
        <v>84</v>
      </c>
      <c r="D71" s="33" t="s">
        <v>56</v>
      </c>
      <c r="E71" s="33" t="s">
        <v>63</v>
      </c>
      <c r="F71" s="33" t="s">
        <v>69</v>
      </c>
      <c r="G71" s="33" t="s">
        <v>70</v>
      </c>
      <c r="H71" s="33" t="n">
        <v>1</v>
      </c>
      <c r="I71" s="35" t="n">
        <v>420</v>
      </c>
      <c r="J71" s="36" t="n">
        <v>0.2</v>
      </c>
      <c r="K71" s="37" t="n">
        <f aca="false">H71*I71*(1-J71)</f>
        <v>336</v>
      </c>
      <c r="L71" s="33" t="s">
        <v>103</v>
      </c>
    </row>
    <row r="72" customFormat="false" ht="15" hidden="false" customHeight="false" outlineLevel="0" collapsed="false">
      <c r="A72" s="33" t="n">
        <v>1071</v>
      </c>
      <c r="B72" s="34" t="n">
        <v>46107</v>
      </c>
      <c r="C72" s="33" t="s">
        <v>89</v>
      </c>
      <c r="D72" s="33" t="s">
        <v>62</v>
      </c>
      <c r="E72" s="33" t="s">
        <v>57</v>
      </c>
      <c r="F72" s="33" t="s">
        <v>71</v>
      </c>
      <c r="G72" s="33" t="s">
        <v>72</v>
      </c>
      <c r="H72" s="33" t="n">
        <v>5</v>
      </c>
      <c r="I72" s="35" t="n">
        <v>45</v>
      </c>
      <c r="J72" s="36" t="n">
        <v>0.1</v>
      </c>
      <c r="K72" s="37" t="n">
        <f aca="false">H72*I72*(1-J72)</f>
        <v>202.5</v>
      </c>
      <c r="L72" s="33" t="s">
        <v>100</v>
      </c>
    </row>
    <row r="73" customFormat="false" ht="15" hidden="false" customHeight="false" outlineLevel="0" collapsed="false">
      <c r="A73" s="33" t="n">
        <v>1072</v>
      </c>
      <c r="B73" s="34" t="n">
        <v>46108</v>
      </c>
      <c r="C73" s="33" t="s">
        <v>87</v>
      </c>
      <c r="D73" s="33" t="s">
        <v>62</v>
      </c>
      <c r="E73" s="33" t="s">
        <v>61</v>
      </c>
      <c r="F73" s="33" t="s">
        <v>69</v>
      </c>
      <c r="G73" s="33" t="s">
        <v>72</v>
      </c>
      <c r="H73" s="33" t="n">
        <v>1</v>
      </c>
      <c r="I73" s="35" t="n">
        <v>70</v>
      </c>
      <c r="J73" s="36" t="n">
        <v>0.2</v>
      </c>
      <c r="K73" s="37" t="n">
        <f aca="false">H73*I73*(1-J73)</f>
        <v>56</v>
      </c>
      <c r="L73" s="33" t="s">
        <v>100</v>
      </c>
    </row>
    <row r="74" customFormat="false" ht="15" hidden="false" customHeight="false" outlineLevel="0" collapsed="false">
      <c r="A74" s="33" t="n">
        <v>1073</v>
      </c>
      <c r="B74" s="34" t="n">
        <v>46109</v>
      </c>
      <c r="C74" s="33" t="s">
        <v>93</v>
      </c>
      <c r="D74" s="33" t="s">
        <v>62</v>
      </c>
      <c r="E74" s="33" t="s">
        <v>57</v>
      </c>
      <c r="F74" s="33" t="s">
        <v>71</v>
      </c>
      <c r="G74" s="33" t="s">
        <v>74</v>
      </c>
      <c r="H74" s="33" t="n">
        <v>5</v>
      </c>
      <c r="I74" s="35" t="n">
        <v>25</v>
      </c>
      <c r="J74" s="36" t="n">
        <v>0.15</v>
      </c>
      <c r="K74" s="37" t="n">
        <f aca="false">H74*I74*(1-J74)</f>
        <v>106.25</v>
      </c>
      <c r="L74" s="33" t="s">
        <v>101</v>
      </c>
    </row>
    <row r="75" customFormat="false" ht="15" hidden="false" customHeight="false" outlineLevel="0" collapsed="false">
      <c r="A75" s="33" t="n">
        <v>1074</v>
      </c>
      <c r="B75" s="34" t="n">
        <v>46111</v>
      </c>
      <c r="C75" s="33" t="s">
        <v>89</v>
      </c>
      <c r="D75" s="33" t="s">
        <v>62</v>
      </c>
      <c r="E75" s="33" t="s">
        <v>61</v>
      </c>
      <c r="F75" s="33" t="s">
        <v>71</v>
      </c>
      <c r="G75" s="33" t="s">
        <v>70</v>
      </c>
      <c r="H75" s="33" t="n">
        <v>4</v>
      </c>
      <c r="I75" s="35" t="n">
        <v>45</v>
      </c>
      <c r="J75" s="36" t="n">
        <v>0</v>
      </c>
      <c r="K75" s="37" t="n">
        <f aca="false">H75*I75*(1-J75)</f>
        <v>180</v>
      </c>
      <c r="L75" s="33" t="s">
        <v>103</v>
      </c>
    </row>
    <row r="76" customFormat="false" ht="15" hidden="false" customHeight="false" outlineLevel="0" collapsed="false">
      <c r="A76" s="33" t="n">
        <v>1075</v>
      </c>
      <c r="B76" s="34" t="n">
        <v>46112</v>
      </c>
      <c r="C76" s="33" t="s">
        <v>85</v>
      </c>
      <c r="D76" s="33" t="s">
        <v>60</v>
      </c>
      <c r="E76" s="33" t="s">
        <v>57</v>
      </c>
      <c r="F76" s="33" t="s">
        <v>71</v>
      </c>
      <c r="G76" s="33" t="s">
        <v>72</v>
      </c>
      <c r="H76" s="33" t="n">
        <v>2</v>
      </c>
      <c r="I76" s="35" t="n">
        <v>180</v>
      </c>
      <c r="J76" s="36" t="n">
        <v>0.2</v>
      </c>
      <c r="K76" s="37" t="n">
        <f aca="false">H76*I76*(1-J76)</f>
        <v>288</v>
      </c>
      <c r="L76" s="33" t="s">
        <v>102</v>
      </c>
    </row>
    <row r="77" customFormat="false" ht="15" hidden="false" customHeight="false" outlineLevel="0" collapsed="false">
      <c r="A77" s="33" t="n">
        <v>1076</v>
      </c>
      <c r="B77" s="34" t="n">
        <v>46113</v>
      </c>
      <c r="C77" s="33" t="s">
        <v>85</v>
      </c>
      <c r="D77" s="33" t="s">
        <v>60</v>
      </c>
      <c r="E77" s="33" t="s">
        <v>57</v>
      </c>
      <c r="F77" s="33" t="s">
        <v>69</v>
      </c>
      <c r="G77" s="33" t="s">
        <v>70</v>
      </c>
      <c r="H77" s="33" t="n">
        <v>3</v>
      </c>
      <c r="I77" s="35" t="n">
        <v>180</v>
      </c>
      <c r="J77" s="36" t="n">
        <v>0.05</v>
      </c>
      <c r="K77" s="37" t="n">
        <f aca="false">H77*I77*(1-J77)</f>
        <v>513</v>
      </c>
      <c r="L77" s="33" t="s">
        <v>100</v>
      </c>
    </row>
    <row r="78" customFormat="false" ht="15" hidden="false" customHeight="false" outlineLevel="0" collapsed="false">
      <c r="A78" s="33" t="n">
        <v>1077</v>
      </c>
      <c r="B78" s="34" t="n">
        <v>46114</v>
      </c>
      <c r="C78" s="33" t="s">
        <v>93</v>
      </c>
      <c r="D78" s="33" t="s">
        <v>62</v>
      </c>
      <c r="E78" s="33" t="s">
        <v>57</v>
      </c>
      <c r="F78" s="33" t="s">
        <v>73</v>
      </c>
      <c r="G78" s="33" t="s">
        <v>74</v>
      </c>
      <c r="H78" s="33" t="n">
        <v>2</v>
      </c>
      <c r="I78" s="35" t="n">
        <v>25</v>
      </c>
      <c r="J78" s="36" t="n">
        <v>0</v>
      </c>
      <c r="K78" s="37" t="n">
        <f aca="false">H78*I78*(1-J78)</f>
        <v>50</v>
      </c>
      <c r="L78" s="33" t="s">
        <v>103</v>
      </c>
    </row>
    <row r="79" customFormat="false" ht="15" hidden="false" customHeight="false" outlineLevel="0" collapsed="false">
      <c r="A79" s="33" t="n">
        <v>1078</v>
      </c>
      <c r="B79" s="34" t="n">
        <v>46116</v>
      </c>
      <c r="C79" s="33" t="s">
        <v>91</v>
      </c>
      <c r="D79" s="33" t="s">
        <v>60</v>
      </c>
      <c r="E79" s="33" t="s">
        <v>63</v>
      </c>
      <c r="F79" s="33" t="s">
        <v>73</v>
      </c>
      <c r="G79" s="33" t="s">
        <v>72</v>
      </c>
      <c r="H79" s="33" t="n">
        <v>1</v>
      </c>
      <c r="I79" s="35" t="n">
        <v>30</v>
      </c>
      <c r="J79" s="36" t="n">
        <v>0</v>
      </c>
      <c r="K79" s="37" t="n">
        <f aca="false">H79*I79*(1-J79)</f>
        <v>30</v>
      </c>
      <c r="L79" s="33" t="s">
        <v>100</v>
      </c>
    </row>
    <row r="80" customFormat="false" ht="15" hidden="false" customHeight="false" outlineLevel="0" collapsed="false">
      <c r="A80" s="33" t="n">
        <v>1079</v>
      </c>
      <c r="B80" s="34" t="n">
        <v>46117</v>
      </c>
      <c r="C80" s="33" t="s">
        <v>91</v>
      </c>
      <c r="D80" s="33" t="s">
        <v>60</v>
      </c>
      <c r="E80" s="33" t="s">
        <v>63</v>
      </c>
      <c r="F80" s="33" t="s">
        <v>71</v>
      </c>
      <c r="G80" s="33" t="s">
        <v>72</v>
      </c>
      <c r="H80" s="33" t="n">
        <v>3</v>
      </c>
      <c r="I80" s="35" t="n">
        <v>30</v>
      </c>
      <c r="J80" s="36" t="n">
        <v>0</v>
      </c>
      <c r="K80" s="37" t="n">
        <f aca="false">H80*I80*(1-J80)</f>
        <v>90</v>
      </c>
      <c r="L80" s="33" t="s">
        <v>101</v>
      </c>
    </row>
    <row r="81" customFormat="false" ht="15" hidden="false" customHeight="false" outlineLevel="0" collapsed="false">
      <c r="A81" s="33" t="n">
        <v>1080</v>
      </c>
      <c r="B81" s="34" t="n">
        <v>46118</v>
      </c>
      <c r="C81" s="33" t="s">
        <v>91</v>
      </c>
      <c r="D81" s="33" t="s">
        <v>60</v>
      </c>
      <c r="E81" s="33" t="s">
        <v>59</v>
      </c>
      <c r="F81" s="33" t="s">
        <v>71</v>
      </c>
      <c r="G81" s="33" t="s">
        <v>72</v>
      </c>
      <c r="H81" s="33" t="n">
        <v>2</v>
      </c>
      <c r="I81" s="35" t="n">
        <v>30</v>
      </c>
      <c r="J81" s="36" t="n">
        <v>0.2</v>
      </c>
      <c r="K81" s="37" t="n">
        <f aca="false">H81*I81*(1-J81)</f>
        <v>48</v>
      </c>
      <c r="L81" s="33" t="s">
        <v>103</v>
      </c>
    </row>
    <row r="82" customFormat="false" ht="15" hidden="false" customHeight="false" outlineLevel="0" collapsed="false">
      <c r="A82" s="33" t="n">
        <v>1081</v>
      </c>
      <c r="B82" s="34" t="n">
        <v>46119</v>
      </c>
      <c r="C82" s="33" t="s">
        <v>82</v>
      </c>
      <c r="D82" s="33" t="s">
        <v>56</v>
      </c>
      <c r="E82" s="33" t="s">
        <v>61</v>
      </c>
      <c r="F82" s="33" t="s">
        <v>71</v>
      </c>
      <c r="G82" s="33" t="s">
        <v>74</v>
      </c>
      <c r="H82" s="33" t="n">
        <v>2</v>
      </c>
      <c r="I82" s="35" t="n">
        <v>650</v>
      </c>
      <c r="J82" s="36" t="n">
        <v>0.2</v>
      </c>
      <c r="K82" s="37" t="n">
        <f aca="false">H82*I82*(1-J82)</f>
        <v>1040</v>
      </c>
      <c r="L82" s="33" t="s">
        <v>102</v>
      </c>
    </row>
    <row r="83" customFormat="false" ht="15" hidden="false" customHeight="false" outlineLevel="0" collapsed="false">
      <c r="A83" s="33" t="n">
        <v>1082</v>
      </c>
      <c r="B83" s="34" t="n">
        <v>46120</v>
      </c>
      <c r="C83" s="33" t="s">
        <v>84</v>
      </c>
      <c r="D83" s="33" t="s">
        <v>56</v>
      </c>
      <c r="E83" s="33" t="s">
        <v>59</v>
      </c>
      <c r="F83" s="33" t="s">
        <v>71</v>
      </c>
      <c r="G83" s="33" t="s">
        <v>70</v>
      </c>
      <c r="H83" s="33" t="n">
        <v>3</v>
      </c>
      <c r="I83" s="35" t="n">
        <v>420</v>
      </c>
      <c r="J83" s="36" t="n">
        <v>0</v>
      </c>
      <c r="K83" s="37" t="n">
        <f aca="false">H83*I83*(1-J83)</f>
        <v>1260</v>
      </c>
      <c r="L83" s="33" t="s">
        <v>102</v>
      </c>
    </row>
    <row r="84" customFormat="false" ht="15" hidden="false" customHeight="false" outlineLevel="0" collapsed="false">
      <c r="A84" s="33" t="n">
        <v>1083</v>
      </c>
      <c r="B84" s="34" t="n">
        <v>46122</v>
      </c>
      <c r="C84" s="33" t="s">
        <v>92</v>
      </c>
      <c r="D84" s="33" t="s">
        <v>60</v>
      </c>
      <c r="E84" s="33" t="s">
        <v>63</v>
      </c>
      <c r="F84" s="33" t="s">
        <v>69</v>
      </c>
      <c r="G84" s="33" t="s">
        <v>70</v>
      </c>
      <c r="H84" s="33" t="n">
        <v>5</v>
      </c>
      <c r="I84" s="35" t="n">
        <v>35</v>
      </c>
      <c r="J84" s="36" t="n">
        <v>0.15</v>
      </c>
      <c r="K84" s="37" t="n">
        <f aca="false">H84*I84*(1-J84)</f>
        <v>148.75</v>
      </c>
      <c r="L84" s="33" t="s">
        <v>100</v>
      </c>
    </row>
    <row r="85" customFormat="false" ht="15" hidden="false" customHeight="false" outlineLevel="0" collapsed="false">
      <c r="A85" s="33" t="n">
        <v>1084</v>
      </c>
      <c r="B85" s="34" t="n">
        <v>46123</v>
      </c>
      <c r="C85" s="33" t="s">
        <v>93</v>
      </c>
      <c r="D85" s="33" t="s">
        <v>62</v>
      </c>
      <c r="E85" s="33" t="s">
        <v>63</v>
      </c>
      <c r="F85" s="33" t="s">
        <v>73</v>
      </c>
      <c r="G85" s="33" t="s">
        <v>70</v>
      </c>
      <c r="H85" s="33" t="n">
        <v>2</v>
      </c>
      <c r="I85" s="35" t="n">
        <v>25</v>
      </c>
      <c r="J85" s="36" t="n">
        <v>0.2</v>
      </c>
      <c r="K85" s="37" t="n">
        <f aca="false">H85*I85*(1-J85)</f>
        <v>40</v>
      </c>
      <c r="L85" s="33" t="s">
        <v>103</v>
      </c>
    </row>
    <row r="86" customFormat="false" ht="15" hidden="false" customHeight="false" outlineLevel="0" collapsed="false">
      <c r="A86" s="33" t="n">
        <v>1085</v>
      </c>
      <c r="B86" s="34" t="n">
        <v>46124</v>
      </c>
      <c r="C86" s="33" t="s">
        <v>93</v>
      </c>
      <c r="D86" s="33" t="s">
        <v>62</v>
      </c>
      <c r="E86" s="33" t="s">
        <v>59</v>
      </c>
      <c r="F86" s="33" t="s">
        <v>73</v>
      </c>
      <c r="G86" s="33" t="s">
        <v>74</v>
      </c>
      <c r="H86" s="33" t="n">
        <v>2</v>
      </c>
      <c r="I86" s="35" t="n">
        <v>25</v>
      </c>
      <c r="J86" s="36" t="n">
        <v>0</v>
      </c>
      <c r="K86" s="37" t="n">
        <f aca="false">H86*I86*(1-J86)</f>
        <v>50</v>
      </c>
      <c r="L86" s="33" t="s">
        <v>101</v>
      </c>
    </row>
    <row r="87" customFormat="false" ht="15" hidden="false" customHeight="false" outlineLevel="0" collapsed="false">
      <c r="A87" s="33" t="n">
        <v>1086</v>
      </c>
      <c r="B87" s="34" t="n">
        <v>46125</v>
      </c>
      <c r="C87" s="33" t="s">
        <v>89</v>
      </c>
      <c r="D87" s="33" t="s">
        <v>62</v>
      </c>
      <c r="E87" s="33" t="s">
        <v>59</v>
      </c>
      <c r="F87" s="33" t="s">
        <v>69</v>
      </c>
      <c r="G87" s="33" t="s">
        <v>72</v>
      </c>
      <c r="H87" s="33" t="n">
        <v>4</v>
      </c>
      <c r="I87" s="35" t="n">
        <v>45</v>
      </c>
      <c r="J87" s="36" t="n">
        <v>0</v>
      </c>
      <c r="K87" s="37" t="n">
        <f aca="false">H87*I87*(1-J87)</f>
        <v>180</v>
      </c>
      <c r="L87" s="33" t="s">
        <v>100</v>
      </c>
    </row>
    <row r="88" customFormat="false" ht="15" hidden="false" customHeight="false" outlineLevel="0" collapsed="false">
      <c r="A88" s="33" t="n">
        <v>1087</v>
      </c>
      <c r="B88" s="34" t="n">
        <v>46126</v>
      </c>
      <c r="C88" s="33" t="s">
        <v>88</v>
      </c>
      <c r="D88" s="33" t="s">
        <v>56</v>
      </c>
      <c r="E88" s="33" t="s">
        <v>63</v>
      </c>
      <c r="F88" s="33" t="s">
        <v>71</v>
      </c>
      <c r="G88" s="33" t="s">
        <v>70</v>
      </c>
      <c r="H88" s="33" t="n">
        <v>1</v>
      </c>
      <c r="I88" s="35" t="n">
        <v>80</v>
      </c>
      <c r="J88" s="36" t="n">
        <v>0</v>
      </c>
      <c r="K88" s="37" t="n">
        <f aca="false">H88*I88*(1-J88)</f>
        <v>80</v>
      </c>
      <c r="L88" s="33" t="s">
        <v>102</v>
      </c>
    </row>
    <row r="89" customFormat="false" ht="15" hidden="false" customHeight="false" outlineLevel="0" collapsed="false">
      <c r="A89" s="33" t="n">
        <v>1088</v>
      </c>
      <c r="B89" s="34" t="n">
        <v>46128</v>
      </c>
      <c r="C89" s="33" t="s">
        <v>92</v>
      </c>
      <c r="D89" s="33" t="s">
        <v>60</v>
      </c>
      <c r="E89" s="33" t="s">
        <v>57</v>
      </c>
      <c r="F89" s="33" t="s">
        <v>69</v>
      </c>
      <c r="G89" s="33" t="s">
        <v>70</v>
      </c>
      <c r="H89" s="33" t="n">
        <v>3</v>
      </c>
      <c r="I89" s="35" t="n">
        <v>35</v>
      </c>
      <c r="J89" s="36" t="n">
        <v>0</v>
      </c>
      <c r="K89" s="37" t="n">
        <f aca="false">H89*I89*(1-J89)</f>
        <v>105</v>
      </c>
      <c r="L89" s="33" t="s">
        <v>103</v>
      </c>
    </row>
    <row r="90" customFormat="false" ht="15" hidden="false" customHeight="false" outlineLevel="0" collapsed="false">
      <c r="A90" s="33" t="n">
        <v>1089</v>
      </c>
      <c r="B90" s="34" t="n">
        <v>46129</v>
      </c>
      <c r="C90" s="33" t="s">
        <v>91</v>
      </c>
      <c r="D90" s="33" t="s">
        <v>60</v>
      </c>
      <c r="E90" s="33" t="s">
        <v>61</v>
      </c>
      <c r="F90" s="33" t="s">
        <v>73</v>
      </c>
      <c r="G90" s="33" t="s">
        <v>72</v>
      </c>
      <c r="H90" s="33" t="n">
        <v>1</v>
      </c>
      <c r="I90" s="35" t="n">
        <v>30</v>
      </c>
      <c r="J90" s="36" t="n">
        <v>0.15</v>
      </c>
      <c r="K90" s="37" t="n">
        <f aca="false">H90*I90*(1-J90)</f>
        <v>25.5</v>
      </c>
      <c r="L90" s="33" t="s">
        <v>102</v>
      </c>
    </row>
    <row r="91" customFormat="false" ht="15" hidden="false" customHeight="false" outlineLevel="0" collapsed="false">
      <c r="A91" s="33" t="n">
        <v>1090</v>
      </c>
      <c r="B91" s="34" t="n">
        <v>46130</v>
      </c>
      <c r="C91" s="33" t="s">
        <v>89</v>
      </c>
      <c r="D91" s="33" t="s">
        <v>62</v>
      </c>
      <c r="E91" s="33" t="s">
        <v>57</v>
      </c>
      <c r="F91" s="33" t="s">
        <v>69</v>
      </c>
      <c r="G91" s="33" t="s">
        <v>72</v>
      </c>
      <c r="H91" s="33" t="n">
        <v>5</v>
      </c>
      <c r="I91" s="35" t="n">
        <v>45</v>
      </c>
      <c r="J91" s="36" t="n">
        <v>0.1</v>
      </c>
      <c r="K91" s="37" t="n">
        <f aca="false">H91*I91*(1-J91)</f>
        <v>202.5</v>
      </c>
      <c r="L91" s="33" t="s">
        <v>100</v>
      </c>
    </row>
    <row r="92" customFormat="false" ht="15" hidden="false" customHeight="false" outlineLevel="0" collapsed="false">
      <c r="A92" s="33" t="n">
        <v>1091</v>
      </c>
      <c r="B92" s="34" t="n">
        <v>46131</v>
      </c>
      <c r="C92" s="33" t="s">
        <v>93</v>
      </c>
      <c r="D92" s="33" t="s">
        <v>62</v>
      </c>
      <c r="E92" s="33" t="s">
        <v>59</v>
      </c>
      <c r="F92" s="33" t="s">
        <v>69</v>
      </c>
      <c r="G92" s="33" t="s">
        <v>70</v>
      </c>
      <c r="H92" s="33" t="n">
        <v>5</v>
      </c>
      <c r="I92" s="35" t="n">
        <v>25</v>
      </c>
      <c r="J92" s="36" t="n">
        <v>0</v>
      </c>
      <c r="K92" s="37" t="n">
        <f aca="false">H92*I92*(1-J92)</f>
        <v>125</v>
      </c>
      <c r="L92" s="33" t="s">
        <v>102</v>
      </c>
    </row>
    <row r="93" customFormat="false" ht="15" hidden="false" customHeight="false" outlineLevel="0" collapsed="false">
      <c r="A93" s="33" t="n">
        <v>1092</v>
      </c>
      <c r="B93" s="34" t="n">
        <v>46132</v>
      </c>
      <c r="C93" s="33" t="s">
        <v>85</v>
      </c>
      <c r="D93" s="33" t="s">
        <v>60</v>
      </c>
      <c r="E93" s="33" t="s">
        <v>59</v>
      </c>
      <c r="F93" s="33" t="s">
        <v>73</v>
      </c>
      <c r="G93" s="33" t="s">
        <v>70</v>
      </c>
      <c r="H93" s="33" t="n">
        <v>2</v>
      </c>
      <c r="I93" s="35" t="n">
        <v>180</v>
      </c>
      <c r="J93" s="36" t="n">
        <v>0.2</v>
      </c>
      <c r="K93" s="37" t="n">
        <f aca="false">H93*I93*(1-J93)</f>
        <v>288</v>
      </c>
      <c r="L93" s="33" t="s">
        <v>103</v>
      </c>
    </row>
    <row r="94" customFormat="false" ht="15" hidden="false" customHeight="false" outlineLevel="0" collapsed="false">
      <c r="A94" s="33" t="n">
        <v>1093</v>
      </c>
      <c r="B94" s="34" t="n">
        <v>46134</v>
      </c>
      <c r="C94" s="33" t="s">
        <v>92</v>
      </c>
      <c r="D94" s="33" t="s">
        <v>60</v>
      </c>
      <c r="E94" s="33" t="s">
        <v>63</v>
      </c>
      <c r="F94" s="33" t="s">
        <v>71</v>
      </c>
      <c r="G94" s="33" t="s">
        <v>74</v>
      </c>
      <c r="H94" s="33" t="n">
        <v>2</v>
      </c>
      <c r="I94" s="35" t="n">
        <v>35</v>
      </c>
      <c r="J94" s="36" t="n">
        <v>0.15</v>
      </c>
      <c r="K94" s="37" t="n">
        <f aca="false">H94*I94*(1-J94)</f>
        <v>59.5</v>
      </c>
      <c r="L94" s="33" t="s">
        <v>101</v>
      </c>
    </row>
    <row r="95" customFormat="false" ht="15" hidden="false" customHeight="false" outlineLevel="0" collapsed="false">
      <c r="A95" s="33" t="n">
        <v>1094</v>
      </c>
      <c r="B95" s="34" t="n">
        <v>46135</v>
      </c>
      <c r="C95" s="33" t="s">
        <v>82</v>
      </c>
      <c r="D95" s="33" t="s">
        <v>56</v>
      </c>
      <c r="E95" s="33" t="s">
        <v>57</v>
      </c>
      <c r="F95" s="33" t="s">
        <v>71</v>
      </c>
      <c r="G95" s="33" t="s">
        <v>70</v>
      </c>
      <c r="H95" s="33" t="n">
        <v>5</v>
      </c>
      <c r="I95" s="35" t="n">
        <v>650</v>
      </c>
      <c r="J95" s="36" t="n">
        <v>0.2</v>
      </c>
      <c r="K95" s="37" t="n">
        <f aca="false">H95*I95*(1-J95)</f>
        <v>2600</v>
      </c>
      <c r="L95" s="33" t="s">
        <v>102</v>
      </c>
    </row>
    <row r="96" customFormat="false" ht="15" hidden="false" customHeight="false" outlineLevel="0" collapsed="false">
      <c r="A96" s="33" t="n">
        <v>1095</v>
      </c>
      <c r="B96" s="34" t="n">
        <v>46136</v>
      </c>
      <c r="C96" s="33" t="s">
        <v>92</v>
      </c>
      <c r="D96" s="33" t="s">
        <v>60</v>
      </c>
      <c r="E96" s="33" t="s">
        <v>63</v>
      </c>
      <c r="F96" s="33" t="s">
        <v>69</v>
      </c>
      <c r="G96" s="33" t="s">
        <v>70</v>
      </c>
      <c r="H96" s="33" t="n">
        <v>2</v>
      </c>
      <c r="I96" s="35" t="n">
        <v>35</v>
      </c>
      <c r="J96" s="36" t="n">
        <v>0.05</v>
      </c>
      <c r="K96" s="37" t="n">
        <f aca="false">H96*I96*(1-J96)</f>
        <v>66.5</v>
      </c>
      <c r="L96" s="33" t="s">
        <v>102</v>
      </c>
    </row>
    <row r="97" customFormat="false" ht="15" hidden="false" customHeight="false" outlineLevel="0" collapsed="false">
      <c r="A97" s="33" t="n">
        <v>1096</v>
      </c>
      <c r="B97" s="34" t="n">
        <v>46137</v>
      </c>
      <c r="C97" s="33" t="s">
        <v>88</v>
      </c>
      <c r="D97" s="33" t="s">
        <v>56</v>
      </c>
      <c r="E97" s="33" t="s">
        <v>61</v>
      </c>
      <c r="F97" s="33" t="s">
        <v>69</v>
      </c>
      <c r="G97" s="33" t="s">
        <v>72</v>
      </c>
      <c r="H97" s="33" t="n">
        <v>5</v>
      </c>
      <c r="I97" s="35" t="n">
        <v>80</v>
      </c>
      <c r="J97" s="36" t="n">
        <v>0</v>
      </c>
      <c r="K97" s="37" t="n">
        <f aca="false">H97*I97*(1-J97)</f>
        <v>400</v>
      </c>
      <c r="L97" s="33" t="s">
        <v>103</v>
      </c>
    </row>
    <row r="98" customFormat="false" ht="15" hidden="false" customHeight="false" outlineLevel="0" collapsed="false">
      <c r="A98" s="33" t="n">
        <v>1097</v>
      </c>
      <c r="B98" s="34" t="n">
        <v>46138</v>
      </c>
      <c r="C98" s="33" t="s">
        <v>90</v>
      </c>
      <c r="D98" s="33" t="s">
        <v>58</v>
      </c>
      <c r="E98" s="33" t="s">
        <v>57</v>
      </c>
      <c r="F98" s="33" t="s">
        <v>71</v>
      </c>
      <c r="G98" s="33" t="s">
        <v>72</v>
      </c>
      <c r="H98" s="33" t="n">
        <v>5</v>
      </c>
      <c r="I98" s="35" t="n">
        <v>95</v>
      </c>
      <c r="J98" s="36" t="n">
        <v>0.15</v>
      </c>
      <c r="K98" s="37" t="n">
        <f aca="false">H98*I98*(1-J98)</f>
        <v>403.75</v>
      </c>
      <c r="L98" s="33" t="s">
        <v>103</v>
      </c>
    </row>
    <row r="99" customFormat="false" ht="15" hidden="false" customHeight="false" outlineLevel="0" collapsed="false">
      <c r="A99" s="33" t="n">
        <v>1098</v>
      </c>
      <c r="B99" s="34" t="n">
        <v>46140</v>
      </c>
      <c r="C99" s="33" t="s">
        <v>91</v>
      </c>
      <c r="D99" s="33" t="s">
        <v>60</v>
      </c>
      <c r="E99" s="33" t="s">
        <v>61</v>
      </c>
      <c r="F99" s="33" t="s">
        <v>73</v>
      </c>
      <c r="G99" s="33" t="s">
        <v>72</v>
      </c>
      <c r="H99" s="33" t="n">
        <v>3</v>
      </c>
      <c r="I99" s="35" t="n">
        <v>30</v>
      </c>
      <c r="J99" s="36" t="n">
        <v>0.05</v>
      </c>
      <c r="K99" s="37" t="n">
        <f aca="false">H99*I99*(1-J99)</f>
        <v>85.5</v>
      </c>
      <c r="L99" s="33" t="s">
        <v>102</v>
      </c>
    </row>
    <row r="100" customFormat="false" ht="15" hidden="false" customHeight="false" outlineLevel="0" collapsed="false">
      <c r="A100" s="33" t="n">
        <v>1099</v>
      </c>
      <c r="B100" s="34" t="n">
        <v>46141</v>
      </c>
      <c r="C100" s="33" t="s">
        <v>88</v>
      </c>
      <c r="D100" s="33" t="s">
        <v>56</v>
      </c>
      <c r="E100" s="33" t="s">
        <v>61</v>
      </c>
      <c r="F100" s="33" t="s">
        <v>71</v>
      </c>
      <c r="G100" s="33" t="s">
        <v>74</v>
      </c>
      <c r="H100" s="33" t="n">
        <v>5</v>
      </c>
      <c r="I100" s="35" t="n">
        <v>80</v>
      </c>
      <c r="J100" s="36" t="n">
        <v>0.2</v>
      </c>
      <c r="K100" s="37" t="n">
        <f aca="false">H100*I100*(1-J100)</f>
        <v>320</v>
      </c>
      <c r="L100" s="33" t="s">
        <v>101</v>
      </c>
    </row>
    <row r="101" customFormat="false" ht="15" hidden="false" customHeight="false" outlineLevel="0" collapsed="false">
      <c r="A101" s="33" t="n">
        <v>1100</v>
      </c>
      <c r="B101" s="34" t="n">
        <v>46142</v>
      </c>
      <c r="C101" s="33" t="s">
        <v>91</v>
      </c>
      <c r="D101" s="33" t="s">
        <v>60</v>
      </c>
      <c r="E101" s="33" t="s">
        <v>59</v>
      </c>
      <c r="F101" s="33" t="s">
        <v>69</v>
      </c>
      <c r="G101" s="33" t="s">
        <v>72</v>
      </c>
      <c r="H101" s="33" t="n">
        <v>5</v>
      </c>
      <c r="I101" s="35" t="n">
        <v>30</v>
      </c>
      <c r="J101" s="36" t="n">
        <v>0</v>
      </c>
      <c r="K101" s="37" t="n">
        <f aca="false">H101*I101*(1-J101)</f>
        <v>150</v>
      </c>
      <c r="L101" s="33" t="s">
        <v>100</v>
      </c>
    </row>
    <row r="102" customFormat="false" ht="15" hidden="false" customHeight="false" outlineLevel="0" collapsed="false">
      <c r="A102" s="33" t="n">
        <v>1101</v>
      </c>
      <c r="B102" s="34" t="n">
        <v>46143</v>
      </c>
      <c r="C102" s="33" t="s">
        <v>91</v>
      </c>
      <c r="D102" s="33" t="s">
        <v>60</v>
      </c>
      <c r="E102" s="33" t="s">
        <v>63</v>
      </c>
      <c r="F102" s="33" t="s">
        <v>69</v>
      </c>
      <c r="G102" s="33" t="s">
        <v>70</v>
      </c>
      <c r="H102" s="33" t="n">
        <v>1</v>
      </c>
      <c r="I102" s="35" t="n">
        <v>30</v>
      </c>
      <c r="J102" s="36" t="n">
        <v>0.15</v>
      </c>
      <c r="K102" s="37" t="n">
        <f aca="false">H102*I102*(1-J102)</f>
        <v>25.5</v>
      </c>
      <c r="L102" s="33" t="s">
        <v>102</v>
      </c>
    </row>
    <row r="103" customFormat="false" ht="15" hidden="false" customHeight="false" outlineLevel="0" collapsed="false">
      <c r="A103" s="33" t="n">
        <v>1102</v>
      </c>
      <c r="B103" s="34" t="n">
        <v>46145</v>
      </c>
      <c r="C103" s="33" t="s">
        <v>89</v>
      </c>
      <c r="D103" s="33" t="s">
        <v>62</v>
      </c>
      <c r="E103" s="33" t="s">
        <v>63</v>
      </c>
      <c r="F103" s="33" t="s">
        <v>69</v>
      </c>
      <c r="G103" s="33" t="s">
        <v>70</v>
      </c>
      <c r="H103" s="33" t="n">
        <v>2</v>
      </c>
      <c r="I103" s="35" t="n">
        <v>45</v>
      </c>
      <c r="J103" s="36" t="n">
        <v>0.15</v>
      </c>
      <c r="K103" s="37" t="n">
        <f aca="false">H103*I103*(1-J103)</f>
        <v>76.5</v>
      </c>
      <c r="L103" s="33" t="s">
        <v>103</v>
      </c>
    </row>
    <row r="104" customFormat="false" ht="15" hidden="false" customHeight="false" outlineLevel="0" collapsed="false">
      <c r="A104" s="33" t="n">
        <v>1103</v>
      </c>
      <c r="B104" s="34" t="n">
        <v>46146</v>
      </c>
      <c r="C104" s="33" t="s">
        <v>89</v>
      </c>
      <c r="D104" s="33" t="s">
        <v>62</v>
      </c>
      <c r="E104" s="33" t="s">
        <v>57</v>
      </c>
      <c r="F104" s="33" t="s">
        <v>69</v>
      </c>
      <c r="G104" s="33" t="s">
        <v>72</v>
      </c>
      <c r="H104" s="33" t="n">
        <v>5</v>
      </c>
      <c r="I104" s="35" t="n">
        <v>45</v>
      </c>
      <c r="J104" s="36" t="n">
        <v>0.1</v>
      </c>
      <c r="K104" s="37" t="n">
        <f aca="false">H104*I104*(1-J104)</f>
        <v>202.5</v>
      </c>
      <c r="L104" s="33" t="s">
        <v>103</v>
      </c>
    </row>
    <row r="105" customFormat="false" ht="15" hidden="false" customHeight="false" outlineLevel="0" collapsed="false">
      <c r="A105" s="33" t="n">
        <v>1104</v>
      </c>
      <c r="B105" s="34" t="n">
        <v>46147</v>
      </c>
      <c r="C105" s="33" t="s">
        <v>93</v>
      </c>
      <c r="D105" s="33" t="s">
        <v>62</v>
      </c>
      <c r="E105" s="33" t="s">
        <v>59</v>
      </c>
      <c r="F105" s="33" t="s">
        <v>69</v>
      </c>
      <c r="G105" s="33" t="s">
        <v>70</v>
      </c>
      <c r="H105" s="33" t="n">
        <v>1</v>
      </c>
      <c r="I105" s="35" t="n">
        <v>25</v>
      </c>
      <c r="J105" s="36" t="n">
        <v>0.05</v>
      </c>
      <c r="K105" s="37" t="n">
        <f aca="false">H105*I105*(1-J105)</f>
        <v>23.75</v>
      </c>
      <c r="L105" s="33" t="s">
        <v>102</v>
      </c>
    </row>
    <row r="106" customFormat="false" ht="15" hidden="false" customHeight="false" outlineLevel="0" collapsed="false">
      <c r="A106" s="33" t="n">
        <v>1105</v>
      </c>
      <c r="B106" s="34" t="n">
        <v>46148</v>
      </c>
      <c r="C106" s="33" t="s">
        <v>82</v>
      </c>
      <c r="D106" s="33" t="s">
        <v>56</v>
      </c>
      <c r="E106" s="33" t="s">
        <v>57</v>
      </c>
      <c r="F106" s="33" t="s">
        <v>73</v>
      </c>
      <c r="G106" s="33" t="s">
        <v>70</v>
      </c>
      <c r="H106" s="33" t="n">
        <v>5</v>
      </c>
      <c r="I106" s="35" t="n">
        <v>650</v>
      </c>
      <c r="J106" s="36" t="n">
        <v>0.1</v>
      </c>
      <c r="K106" s="37" t="n">
        <f aca="false">H106*I106*(1-J106)</f>
        <v>2925</v>
      </c>
      <c r="L106" s="33" t="s">
        <v>103</v>
      </c>
    </row>
    <row r="107" customFormat="false" ht="15" hidden="false" customHeight="false" outlineLevel="0" collapsed="false">
      <c r="A107" s="33" t="n">
        <v>1106</v>
      </c>
      <c r="B107" s="34" t="n">
        <v>46149</v>
      </c>
      <c r="C107" s="33" t="s">
        <v>91</v>
      </c>
      <c r="D107" s="33" t="s">
        <v>60</v>
      </c>
      <c r="E107" s="33" t="s">
        <v>57</v>
      </c>
      <c r="F107" s="33" t="s">
        <v>69</v>
      </c>
      <c r="G107" s="33" t="s">
        <v>74</v>
      </c>
      <c r="H107" s="33" t="n">
        <v>2</v>
      </c>
      <c r="I107" s="35" t="n">
        <v>30</v>
      </c>
      <c r="J107" s="36" t="n">
        <v>0.15</v>
      </c>
      <c r="K107" s="37" t="n">
        <f aca="false">H107*I107*(1-J107)</f>
        <v>51</v>
      </c>
      <c r="L107" s="33" t="s">
        <v>101</v>
      </c>
    </row>
    <row r="108" customFormat="false" ht="15" hidden="false" customHeight="false" outlineLevel="0" collapsed="false">
      <c r="A108" s="33" t="n">
        <v>1107</v>
      </c>
      <c r="B108" s="34" t="n">
        <v>46151</v>
      </c>
      <c r="C108" s="33" t="s">
        <v>93</v>
      </c>
      <c r="D108" s="33" t="s">
        <v>62</v>
      </c>
      <c r="E108" s="33" t="s">
        <v>57</v>
      </c>
      <c r="F108" s="33" t="s">
        <v>71</v>
      </c>
      <c r="G108" s="33" t="s">
        <v>70</v>
      </c>
      <c r="H108" s="33" t="n">
        <v>2</v>
      </c>
      <c r="I108" s="35" t="n">
        <v>25</v>
      </c>
      <c r="J108" s="36" t="n">
        <v>0.05</v>
      </c>
      <c r="K108" s="37" t="n">
        <f aca="false">H108*I108*(1-J108)</f>
        <v>47.5</v>
      </c>
      <c r="L108" s="33" t="s">
        <v>100</v>
      </c>
    </row>
    <row r="109" customFormat="false" ht="15" hidden="false" customHeight="false" outlineLevel="0" collapsed="false">
      <c r="A109" s="33" t="n">
        <v>1108</v>
      </c>
      <c r="B109" s="34" t="n">
        <v>46152</v>
      </c>
      <c r="C109" s="33" t="s">
        <v>93</v>
      </c>
      <c r="D109" s="33" t="s">
        <v>62</v>
      </c>
      <c r="E109" s="33" t="s">
        <v>63</v>
      </c>
      <c r="F109" s="33" t="s">
        <v>69</v>
      </c>
      <c r="G109" s="33" t="s">
        <v>70</v>
      </c>
      <c r="H109" s="33" t="n">
        <v>3</v>
      </c>
      <c r="I109" s="35" t="n">
        <v>25</v>
      </c>
      <c r="J109" s="36" t="n">
        <v>0</v>
      </c>
      <c r="K109" s="37" t="n">
        <f aca="false">H109*I109*(1-J109)</f>
        <v>75</v>
      </c>
      <c r="L109" s="33" t="s">
        <v>101</v>
      </c>
    </row>
    <row r="110" customFormat="false" ht="15" hidden="false" customHeight="false" outlineLevel="0" collapsed="false">
      <c r="A110" s="33" t="n">
        <v>1109</v>
      </c>
      <c r="B110" s="34" t="n">
        <v>46153</v>
      </c>
      <c r="C110" s="33" t="s">
        <v>91</v>
      </c>
      <c r="D110" s="33" t="s">
        <v>60</v>
      </c>
      <c r="E110" s="33" t="s">
        <v>61</v>
      </c>
      <c r="F110" s="33" t="s">
        <v>73</v>
      </c>
      <c r="G110" s="33" t="s">
        <v>70</v>
      </c>
      <c r="H110" s="33" t="n">
        <v>5</v>
      </c>
      <c r="I110" s="35" t="n">
        <v>30</v>
      </c>
      <c r="J110" s="36" t="n">
        <v>0.2</v>
      </c>
      <c r="K110" s="37" t="n">
        <f aca="false">H110*I110*(1-J110)</f>
        <v>120</v>
      </c>
      <c r="L110" s="33" t="s">
        <v>102</v>
      </c>
    </row>
    <row r="111" customFormat="false" ht="15" hidden="false" customHeight="false" outlineLevel="0" collapsed="false">
      <c r="A111" s="33" t="n">
        <v>1110</v>
      </c>
      <c r="B111" s="34" t="n">
        <v>46154</v>
      </c>
      <c r="C111" s="33" t="s">
        <v>84</v>
      </c>
      <c r="D111" s="33" t="s">
        <v>56</v>
      </c>
      <c r="E111" s="33" t="s">
        <v>59</v>
      </c>
      <c r="F111" s="33" t="s">
        <v>69</v>
      </c>
      <c r="G111" s="33" t="s">
        <v>74</v>
      </c>
      <c r="H111" s="33" t="n">
        <v>3</v>
      </c>
      <c r="I111" s="35" t="n">
        <v>420</v>
      </c>
      <c r="J111" s="36" t="n">
        <v>0.2</v>
      </c>
      <c r="K111" s="37" t="n">
        <f aca="false">H111*I111*(1-J111)</f>
        <v>1008</v>
      </c>
      <c r="L111" s="33" t="s">
        <v>102</v>
      </c>
    </row>
    <row r="112" customFormat="false" ht="15" hidden="false" customHeight="false" outlineLevel="0" collapsed="false">
      <c r="A112" s="33" t="n">
        <v>1111</v>
      </c>
      <c r="B112" s="34" t="n">
        <v>46155</v>
      </c>
      <c r="C112" s="33" t="s">
        <v>83</v>
      </c>
      <c r="D112" s="33" t="s">
        <v>58</v>
      </c>
      <c r="E112" s="33" t="s">
        <v>63</v>
      </c>
      <c r="F112" s="33" t="s">
        <v>69</v>
      </c>
      <c r="G112" s="33" t="s">
        <v>72</v>
      </c>
      <c r="H112" s="33" t="n">
        <v>2</v>
      </c>
      <c r="I112" s="35" t="n">
        <v>280</v>
      </c>
      <c r="J112" s="36" t="n">
        <v>0.1</v>
      </c>
      <c r="K112" s="37" t="n">
        <f aca="false">H112*I112*(1-J112)</f>
        <v>504</v>
      </c>
      <c r="L112" s="33" t="s">
        <v>101</v>
      </c>
    </row>
    <row r="113" customFormat="false" ht="15" hidden="false" customHeight="false" outlineLevel="0" collapsed="false">
      <c r="A113" s="33" t="n">
        <v>1112</v>
      </c>
      <c r="B113" s="34" t="n">
        <v>46157</v>
      </c>
      <c r="C113" s="33" t="s">
        <v>82</v>
      </c>
      <c r="D113" s="33" t="s">
        <v>56</v>
      </c>
      <c r="E113" s="33" t="s">
        <v>57</v>
      </c>
      <c r="F113" s="33" t="s">
        <v>73</v>
      </c>
      <c r="G113" s="33" t="s">
        <v>70</v>
      </c>
      <c r="H113" s="33" t="n">
        <v>1</v>
      </c>
      <c r="I113" s="35" t="n">
        <v>650</v>
      </c>
      <c r="J113" s="36" t="n">
        <v>0.05</v>
      </c>
      <c r="K113" s="37" t="n">
        <f aca="false">H113*I113*(1-J113)</f>
        <v>617.5</v>
      </c>
      <c r="L113" s="33" t="s">
        <v>103</v>
      </c>
    </row>
    <row r="114" customFormat="false" ht="15" hidden="false" customHeight="false" outlineLevel="0" collapsed="false">
      <c r="A114" s="33" t="n">
        <v>1113</v>
      </c>
      <c r="B114" s="34" t="n">
        <v>46158</v>
      </c>
      <c r="C114" s="33" t="s">
        <v>89</v>
      </c>
      <c r="D114" s="33" t="s">
        <v>62</v>
      </c>
      <c r="E114" s="33" t="s">
        <v>61</v>
      </c>
      <c r="F114" s="33" t="s">
        <v>73</v>
      </c>
      <c r="G114" s="33" t="s">
        <v>72</v>
      </c>
      <c r="H114" s="33" t="n">
        <v>2</v>
      </c>
      <c r="I114" s="35" t="n">
        <v>45</v>
      </c>
      <c r="J114" s="36" t="n">
        <v>0</v>
      </c>
      <c r="K114" s="37" t="n">
        <f aca="false">H114*I114*(1-J114)</f>
        <v>90</v>
      </c>
      <c r="L114" s="33" t="s">
        <v>100</v>
      </c>
    </row>
    <row r="115" customFormat="false" ht="15" hidden="false" customHeight="false" outlineLevel="0" collapsed="false">
      <c r="A115" s="33" t="n">
        <v>1114</v>
      </c>
      <c r="B115" s="34" t="n">
        <v>46159</v>
      </c>
      <c r="C115" s="33" t="s">
        <v>82</v>
      </c>
      <c r="D115" s="33" t="s">
        <v>56</v>
      </c>
      <c r="E115" s="33" t="s">
        <v>59</v>
      </c>
      <c r="F115" s="33" t="s">
        <v>73</v>
      </c>
      <c r="G115" s="33" t="s">
        <v>70</v>
      </c>
      <c r="H115" s="33" t="n">
        <v>2</v>
      </c>
      <c r="I115" s="35" t="n">
        <v>650</v>
      </c>
      <c r="J115" s="36" t="n">
        <v>0</v>
      </c>
      <c r="K115" s="37" t="n">
        <f aca="false">H115*I115*(1-J115)</f>
        <v>1300</v>
      </c>
      <c r="L115" s="33" t="s">
        <v>100</v>
      </c>
    </row>
    <row r="116" customFormat="false" ht="15" hidden="false" customHeight="false" outlineLevel="0" collapsed="false">
      <c r="A116" s="33" t="n">
        <v>1115</v>
      </c>
      <c r="B116" s="34" t="n">
        <v>46160</v>
      </c>
      <c r="C116" s="33" t="s">
        <v>86</v>
      </c>
      <c r="D116" s="33" t="s">
        <v>58</v>
      </c>
      <c r="E116" s="33" t="s">
        <v>63</v>
      </c>
      <c r="F116" s="33" t="s">
        <v>73</v>
      </c>
      <c r="G116" s="33" t="s">
        <v>70</v>
      </c>
      <c r="H116" s="33" t="n">
        <v>4</v>
      </c>
      <c r="I116" s="35" t="n">
        <v>350</v>
      </c>
      <c r="J116" s="36" t="n">
        <v>0</v>
      </c>
      <c r="K116" s="37" t="n">
        <f aca="false">H116*I116*(1-J116)</f>
        <v>1400</v>
      </c>
      <c r="L116" s="33" t="s">
        <v>102</v>
      </c>
    </row>
    <row r="117" customFormat="false" ht="15" hidden="false" customHeight="false" outlineLevel="0" collapsed="false">
      <c r="A117" s="33" t="n">
        <v>1116</v>
      </c>
      <c r="B117" s="34" t="n">
        <v>46161</v>
      </c>
      <c r="C117" s="33" t="s">
        <v>88</v>
      </c>
      <c r="D117" s="33" t="s">
        <v>56</v>
      </c>
      <c r="E117" s="33" t="s">
        <v>63</v>
      </c>
      <c r="F117" s="33" t="s">
        <v>69</v>
      </c>
      <c r="G117" s="33" t="s">
        <v>74</v>
      </c>
      <c r="H117" s="33" t="n">
        <v>5</v>
      </c>
      <c r="I117" s="35" t="n">
        <v>80</v>
      </c>
      <c r="J117" s="36" t="n">
        <v>0.2</v>
      </c>
      <c r="K117" s="37" t="n">
        <f aca="false">H117*I117*(1-J117)</f>
        <v>320</v>
      </c>
      <c r="L117" s="33" t="s">
        <v>102</v>
      </c>
    </row>
    <row r="118" customFormat="false" ht="15" hidden="false" customHeight="false" outlineLevel="0" collapsed="false">
      <c r="A118" s="33" t="n">
        <v>1117</v>
      </c>
      <c r="B118" s="34" t="n">
        <v>46163</v>
      </c>
      <c r="C118" s="33" t="s">
        <v>88</v>
      </c>
      <c r="D118" s="33" t="s">
        <v>56</v>
      </c>
      <c r="E118" s="33" t="s">
        <v>61</v>
      </c>
      <c r="F118" s="33" t="s">
        <v>69</v>
      </c>
      <c r="G118" s="33" t="s">
        <v>74</v>
      </c>
      <c r="H118" s="33" t="n">
        <v>1</v>
      </c>
      <c r="I118" s="35" t="n">
        <v>80</v>
      </c>
      <c r="J118" s="36" t="n">
        <v>0.2</v>
      </c>
      <c r="K118" s="37" t="n">
        <f aca="false">H118*I118*(1-J118)</f>
        <v>64</v>
      </c>
      <c r="L118" s="33" t="s">
        <v>100</v>
      </c>
    </row>
    <row r="119" customFormat="false" ht="15" hidden="false" customHeight="false" outlineLevel="0" collapsed="false">
      <c r="A119" s="33" t="n">
        <v>1118</v>
      </c>
      <c r="B119" s="34" t="n">
        <v>46164</v>
      </c>
      <c r="C119" s="33" t="s">
        <v>88</v>
      </c>
      <c r="D119" s="33" t="s">
        <v>56</v>
      </c>
      <c r="E119" s="33" t="s">
        <v>57</v>
      </c>
      <c r="F119" s="33" t="s">
        <v>71</v>
      </c>
      <c r="G119" s="33" t="s">
        <v>70</v>
      </c>
      <c r="H119" s="33" t="n">
        <v>5</v>
      </c>
      <c r="I119" s="35" t="n">
        <v>80</v>
      </c>
      <c r="J119" s="36" t="n">
        <v>0.2</v>
      </c>
      <c r="K119" s="37" t="n">
        <f aca="false">H119*I119*(1-J119)</f>
        <v>320</v>
      </c>
      <c r="L119" s="33" t="s">
        <v>100</v>
      </c>
    </row>
    <row r="120" customFormat="false" ht="15" hidden="false" customHeight="false" outlineLevel="0" collapsed="false">
      <c r="A120" s="33" t="n">
        <v>1119</v>
      </c>
      <c r="B120" s="34" t="n">
        <v>46165</v>
      </c>
      <c r="C120" s="33" t="s">
        <v>83</v>
      </c>
      <c r="D120" s="33" t="s">
        <v>58</v>
      </c>
      <c r="E120" s="33" t="s">
        <v>59</v>
      </c>
      <c r="F120" s="33" t="s">
        <v>73</v>
      </c>
      <c r="G120" s="33" t="s">
        <v>74</v>
      </c>
      <c r="H120" s="33" t="n">
        <v>2</v>
      </c>
      <c r="I120" s="35" t="n">
        <v>280</v>
      </c>
      <c r="J120" s="36" t="n">
        <v>0.15</v>
      </c>
      <c r="K120" s="37" t="n">
        <f aca="false">H120*I120*(1-J120)</f>
        <v>476</v>
      </c>
      <c r="L120" s="33" t="s">
        <v>102</v>
      </c>
    </row>
    <row r="121" customFormat="false" ht="15" hidden="false" customHeight="false" outlineLevel="0" collapsed="false">
      <c r="A121" s="33" t="n">
        <v>1120</v>
      </c>
      <c r="B121" s="34" t="n">
        <v>46166</v>
      </c>
      <c r="C121" s="33" t="s">
        <v>84</v>
      </c>
      <c r="D121" s="33" t="s">
        <v>56</v>
      </c>
      <c r="E121" s="33" t="s">
        <v>61</v>
      </c>
      <c r="F121" s="33" t="s">
        <v>69</v>
      </c>
      <c r="G121" s="33" t="s">
        <v>74</v>
      </c>
      <c r="H121" s="33" t="n">
        <v>3</v>
      </c>
      <c r="I121" s="35" t="n">
        <v>420</v>
      </c>
      <c r="J121" s="36" t="n">
        <v>0.1</v>
      </c>
      <c r="K121" s="37" t="n">
        <f aca="false">H121*I121*(1-J121)</f>
        <v>1134</v>
      </c>
      <c r="L121" s="33" t="s">
        <v>101</v>
      </c>
    </row>
    <row r="122" customFormat="false" ht="15" hidden="false" customHeight="false" outlineLevel="0" collapsed="false">
      <c r="A122" s="33" t="n">
        <v>1121</v>
      </c>
      <c r="B122" s="34" t="n">
        <v>46167</v>
      </c>
      <c r="C122" s="33" t="s">
        <v>89</v>
      </c>
      <c r="D122" s="33" t="s">
        <v>62</v>
      </c>
      <c r="E122" s="33" t="s">
        <v>63</v>
      </c>
      <c r="F122" s="33" t="s">
        <v>73</v>
      </c>
      <c r="G122" s="33" t="s">
        <v>72</v>
      </c>
      <c r="H122" s="33" t="n">
        <v>3</v>
      </c>
      <c r="I122" s="35" t="n">
        <v>45</v>
      </c>
      <c r="J122" s="36" t="n">
        <v>0</v>
      </c>
      <c r="K122" s="37" t="n">
        <f aca="false">H122*I122*(1-J122)</f>
        <v>135</v>
      </c>
      <c r="L122" s="33" t="s">
        <v>103</v>
      </c>
    </row>
    <row r="123" customFormat="false" ht="15" hidden="false" customHeight="false" outlineLevel="0" collapsed="false">
      <c r="A123" s="33" t="n">
        <v>1122</v>
      </c>
      <c r="B123" s="34" t="n">
        <v>46169</v>
      </c>
      <c r="C123" s="33" t="s">
        <v>89</v>
      </c>
      <c r="D123" s="33" t="s">
        <v>62</v>
      </c>
      <c r="E123" s="33" t="s">
        <v>59</v>
      </c>
      <c r="F123" s="33" t="s">
        <v>73</v>
      </c>
      <c r="G123" s="33" t="s">
        <v>72</v>
      </c>
      <c r="H123" s="33" t="n">
        <v>5</v>
      </c>
      <c r="I123" s="35" t="n">
        <v>45</v>
      </c>
      <c r="J123" s="36" t="n">
        <v>0.05</v>
      </c>
      <c r="K123" s="37" t="n">
        <f aca="false">H123*I123*(1-J123)</f>
        <v>213.75</v>
      </c>
      <c r="L123" s="33" t="s">
        <v>102</v>
      </c>
    </row>
    <row r="124" customFormat="false" ht="15" hidden="false" customHeight="false" outlineLevel="0" collapsed="false">
      <c r="A124" s="33" t="n">
        <v>1123</v>
      </c>
      <c r="B124" s="34" t="n">
        <v>46170</v>
      </c>
      <c r="C124" s="33" t="s">
        <v>91</v>
      </c>
      <c r="D124" s="33" t="s">
        <v>60</v>
      </c>
      <c r="E124" s="33" t="s">
        <v>61</v>
      </c>
      <c r="F124" s="33" t="s">
        <v>71</v>
      </c>
      <c r="G124" s="33" t="s">
        <v>74</v>
      </c>
      <c r="H124" s="33" t="n">
        <v>2</v>
      </c>
      <c r="I124" s="35" t="n">
        <v>30</v>
      </c>
      <c r="J124" s="36" t="n">
        <v>0.05</v>
      </c>
      <c r="K124" s="37" t="n">
        <f aca="false">H124*I124*(1-J124)</f>
        <v>57</v>
      </c>
      <c r="L124" s="33" t="s">
        <v>103</v>
      </c>
    </row>
    <row r="125" customFormat="false" ht="15" hidden="false" customHeight="false" outlineLevel="0" collapsed="false">
      <c r="A125" s="33" t="n">
        <v>1124</v>
      </c>
      <c r="B125" s="34" t="n">
        <v>46171</v>
      </c>
      <c r="C125" s="33" t="s">
        <v>92</v>
      </c>
      <c r="D125" s="33" t="s">
        <v>60</v>
      </c>
      <c r="E125" s="33" t="s">
        <v>57</v>
      </c>
      <c r="F125" s="33" t="s">
        <v>69</v>
      </c>
      <c r="G125" s="33" t="s">
        <v>74</v>
      </c>
      <c r="H125" s="33" t="n">
        <v>3</v>
      </c>
      <c r="I125" s="35" t="n">
        <v>35</v>
      </c>
      <c r="J125" s="36" t="n">
        <v>0.05</v>
      </c>
      <c r="K125" s="37" t="n">
        <f aca="false">H125*I125*(1-J125)</f>
        <v>99.75</v>
      </c>
      <c r="L125" s="33" t="s">
        <v>100</v>
      </c>
    </row>
    <row r="126" customFormat="false" ht="15" hidden="false" customHeight="false" outlineLevel="0" collapsed="false">
      <c r="A126" s="33" t="n">
        <v>1125</v>
      </c>
      <c r="B126" s="34" t="n">
        <v>46172</v>
      </c>
      <c r="C126" s="33" t="s">
        <v>83</v>
      </c>
      <c r="D126" s="33" t="s">
        <v>58</v>
      </c>
      <c r="E126" s="33" t="s">
        <v>59</v>
      </c>
      <c r="F126" s="33" t="s">
        <v>69</v>
      </c>
      <c r="G126" s="33" t="s">
        <v>70</v>
      </c>
      <c r="H126" s="33" t="n">
        <v>4</v>
      </c>
      <c r="I126" s="35" t="n">
        <v>280</v>
      </c>
      <c r="J126" s="36" t="n">
        <v>0.05</v>
      </c>
      <c r="K126" s="37" t="n">
        <f aca="false">H126*I126*(1-J126)</f>
        <v>1064</v>
      </c>
      <c r="L126" s="33" t="s">
        <v>100</v>
      </c>
    </row>
    <row r="127" customFormat="false" ht="15" hidden="false" customHeight="false" outlineLevel="0" collapsed="false">
      <c r="A127" s="33" t="n">
        <v>1126</v>
      </c>
      <c r="B127" s="34" t="n">
        <v>46174</v>
      </c>
      <c r="C127" s="33" t="s">
        <v>93</v>
      </c>
      <c r="D127" s="33" t="s">
        <v>62</v>
      </c>
      <c r="E127" s="33" t="s">
        <v>61</v>
      </c>
      <c r="F127" s="33" t="s">
        <v>69</v>
      </c>
      <c r="G127" s="33" t="s">
        <v>70</v>
      </c>
      <c r="H127" s="33" t="n">
        <v>2</v>
      </c>
      <c r="I127" s="35" t="n">
        <v>25</v>
      </c>
      <c r="J127" s="36" t="n">
        <v>0</v>
      </c>
      <c r="K127" s="37" t="n">
        <f aca="false">H127*I127*(1-J127)</f>
        <v>50</v>
      </c>
      <c r="L127" s="33" t="s">
        <v>102</v>
      </c>
    </row>
    <row r="128" customFormat="false" ht="15" hidden="false" customHeight="false" outlineLevel="0" collapsed="false">
      <c r="A128" s="33" t="n">
        <v>1127</v>
      </c>
      <c r="B128" s="34" t="n">
        <v>46175</v>
      </c>
      <c r="C128" s="33" t="s">
        <v>87</v>
      </c>
      <c r="D128" s="33" t="s">
        <v>62</v>
      </c>
      <c r="E128" s="33" t="s">
        <v>63</v>
      </c>
      <c r="F128" s="33" t="s">
        <v>71</v>
      </c>
      <c r="G128" s="33" t="s">
        <v>72</v>
      </c>
      <c r="H128" s="33" t="n">
        <v>5</v>
      </c>
      <c r="I128" s="35" t="n">
        <v>70</v>
      </c>
      <c r="J128" s="36" t="n">
        <v>0.05</v>
      </c>
      <c r="K128" s="37" t="n">
        <f aca="false">H128*I128*(1-J128)</f>
        <v>332.5</v>
      </c>
      <c r="L128" s="33" t="s">
        <v>103</v>
      </c>
    </row>
    <row r="129" customFormat="false" ht="15" hidden="false" customHeight="false" outlineLevel="0" collapsed="false">
      <c r="A129" s="33" t="n">
        <v>1128</v>
      </c>
      <c r="B129" s="34" t="n">
        <v>46176</v>
      </c>
      <c r="C129" s="33" t="s">
        <v>92</v>
      </c>
      <c r="D129" s="33" t="s">
        <v>60</v>
      </c>
      <c r="E129" s="33" t="s">
        <v>59</v>
      </c>
      <c r="F129" s="33" t="s">
        <v>73</v>
      </c>
      <c r="G129" s="33" t="s">
        <v>72</v>
      </c>
      <c r="H129" s="33" t="n">
        <v>3</v>
      </c>
      <c r="I129" s="35" t="n">
        <v>35</v>
      </c>
      <c r="J129" s="36" t="n">
        <v>0</v>
      </c>
      <c r="K129" s="37" t="n">
        <f aca="false">H129*I129*(1-J129)</f>
        <v>105</v>
      </c>
      <c r="L129" s="33" t="s">
        <v>103</v>
      </c>
    </row>
    <row r="130" customFormat="false" ht="15" hidden="false" customHeight="false" outlineLevel="0" collapsed="false">
      <c r="A130" s="33" t="n">
        <v>1129</v>
      </c>
      <c r="B130" s="34" t="n">
        <v>46177</v>
      </c>
      <c r="C130" s="33" t="s">
        <v>87</v>
      </c>
      <c r="D130" s="33" t="s">
        <v>62</v>
      </c>
      <c r="E130" s="33" t="s">
        <v>57</v>
      </c>
      <c r="F130" s="33" t="s">
        <v>69</v>
      </c>
      <c r="G130" s="33" t="s">
        <v>72</v>
      </c>
      <c r="H130" s="33" t="n">
        <v>4</v>
      </c>
      <c r="I130" s="35" t="n">
        <v>70</v>
      </c>
      <c r="J130" s="36" t="n">
        <v>0.15</v>
      </c>
      <c r="K130" s="37" t="n">
        <f aca="false">H130*I130*(1-J130)</f>
        <v>238</v>
      </c>
      <c r="L130" s="33" t="s">
        <v>101</v>
      </c>
    </row>
    <row r="131" customFormat="false" ht="15" hidden="false" customHeight="false" outlineLevel="0" collapsed="false">
      <c r="A131" s="33" t="n">
        <v>1130</v>
      </c>
      <c r="B131" s="34" t="n">
        <v>46178</v>
      </c>
      <c r="C131" s="33" t="s">
        <v>88</v>
      </c>
      <c r="D131" s="33" t="s">
        <v>56</v>
      </c>
      <c r="E131" s="33" t="s">
        <v>57</v>
      </c>
      <c r="F131" s="33" t="s">
        <v>71</v>
      </c>
      <c r="G131" s="33" t="s">
        <v>70</v>
      </c>
      <c r="H131" s="33" t="n">
        <v>3</v>
      </c>
      <c r="I131" s="35" t="n">
        <v>80</v>
      </c>
      <c r="J131" s="36" t="n">
        <v>0.2</v>
      </c>
      <c r="K131" s="37" t="n">
        <f aca="false">H131*I131*(1-J131)</f>
        <v>192</v>
      </c>
      <c r="L131" s="33" t="s">
        <v>102</v>
      </c>
    </row>
    <row r="132" customFormat="false" ht="15" hidden="false" customHeight="false" outlineLevel="0" collapsed="false">
      <c r="A132" s="33" t="n">
        <v>1131</v>
      </c>
      <c r="B132" s="34" t="n">
        <v>46180</v>
      </c>
      <c r="C132" s="33" t="s">
        <v>88</v>
      </c>
      <c r="D132" s="33" t="s">
        <v>56</v>
      </c>
      <c r="E132" s="33" t="s">
        <v>63</v>
      </c>
      <c r="F132" s="33" t="s">
        <v>71</v>
      </c>
      <c r="G132" s="33" t="s">
        <v>74</v>
      </c>
      <c r="H132" s="33" t="n">
        <v>3</v>
      </c>
      <c r="I132" s="35" t="n">
        <v>80</v>
      </c>
      <c r="J132" s="36" t="n">
        <v>0.2</v>
      </c>
      <c r="K132" s="37" t="n">
        <f aca="false">H132*I132*(1-J132)</f>
        <v>192</v>
      </c>
      <c r="L132" s="33" t="s">
        <v>100</v>
      </c>
    </row>
    <row r="133" customFormat="false" ht="15" hidden="false" customHeight="false" outlineLevel="0" collapsed="false">
      <c r="A133" s="33" t="n">
        <v>1132</v>
      </c>
      <c r="B133" s="34" t="n">
        <v>46181</v>
      </c>
      <c r="C133" s="33" t="s">
        <v>87</v>
      </c>
      <c r="D133" s="33" t="s">
        <v>62</v>
      </c>
      <c r="E133" s="33" t="s">
        <v>63</v>
      </c>
      <c r="F133" s="33" t="s">
        <v>69</v>
      </c>
      <c r="G133" s="33" t="s">
        <v>74</v>
      </c>
      <c r="H133" s="33" t="n">
        <v>5</v>
      </c>
      <c r="I133" s="35" t="n">
        <v>70</v>
      </c>
      <c r="J133" s="36" t="n">
        <v>0</v>
      </c>
      <c r="K133" s="37" t="n">
        <f aca="false">H133*I133*(1-J133)</f>
        <v>350</v>
      </c>
      <c r="L133" s="33" t="s">
        <v>102</v>
      </c>
    </row>
    <row r="134" customFormat="false" ht="15" hidden="false" customHeight="false" outlineLevel="0" collapsed="false">
      <c r="A134" s="33" t="n">
        <v>1133</v>
      </c>
      <c r="B134" s="34" t="n">
        <v>46182</v>
      </c>
      <c r="C134" s="33" t="s">
        <v>84</v>
      </c>
      <c r="D134" s="33" t="s">
        <v>56</v>
      </c>
      <c r="E134" s="33" t="s">
        <v>63</v>
      </c>
      <c r="F134" s="33" t="s">
        <v>73</v>
      </c>
      <c r="G134" s="33" t="s">
        <v>70</v>
      </c>
      <c r="H134" s="33" t="n">
        <v>1</v>
      </c>
      <c r="I134" s="35" t="n">
        <v>420</v>
      </c>
      <c r="J134" s="36" t="n">
        <v>0.05</v>
      </c>
      <c r="K134" s="37" t="n">
        <f aca="false">H134*I134*(1-J134)</f>
        <v>399</v>
      </c>
      <c r="L134" s="33" t="s">
        <v>102</v>
      </c>
    </row>
    <row r="135" customFormat="false" ht="15" hidden="false" customHeight="false" outlineLevel="0" collapsed="false">
      <c r="A135" s="33" t="n">
        <v>1134</v>
      </c>
      <c r="B135" s="34" t="n">
        <v>46183</v>
      </c>
      <c r="C135" s="33" t="s">
        <v>90</v>
      </c>
      <c r="D135" s="33" t="s">
        <v>58</v>
      </c>
      <c r="E135" s="33" t="s">
        <v>59</v>
      </c>
      <c r="F135" s="33" t="s">
        <v>69</v>
      </c>
      <c r="G135" s="33" t="s">
        <v>70</v>
      </c>
      <c r="H135" s="33" t="n">
        <v>1</v>
      </c>
      <c r="I135" s="35" t="n">
        <v>95</v>
      </c>
      <c r="J135" s="36" t="n">
        <v>0.1</v>
      </c>
      <c r="K135" s="37" t="n">
        <f aca="false">H135*I135*(1-J135)</f>
        <v>85.5</v>
      </c>
      <c r="L135" s="33" t="s">
        <v>102</v>
      </c>
    </row>
    <row r="136" customFormat="false" ht="15" hidden="false" customHeight="false" outlineLevel="0" collapsed="false">
      <c r="A136" s="33" t="n">
        <v>1135</v>
      </c>
      <c r="B136" s="34" t="n">
        <v>46184</v>
      </c>
      <c r="C136" s="33" t="s">
        <v>93</v>
      </c>
      <c r="D136" s="33" t="s">
        <v>62</v>
      </c>
      <c r="E136" s="33" t="s">
        <v>59</v>
      </c>
      <c r="F136" s="33" t="s">
        <v>69</v>
      </c>
      <c r="G136" s="33" t="s">
        <v>72</v>
      </c>
      <c r="H136" s="33" t="n">
        <v>1</v>
      </c>
      <c r="I136" s="35" t="n">
        <v>25</v>
      </c>
      <c r="J136" s="36" t="n">
        <v>0</v>
      </c>
      <c r="K136" s="37" t="n">
        <f aca="false">H136*I136*(1-J136)</f>
        <v>25</v>
      </c>
      <c r="L136" s="33" t="s">
        <v>103</v>
      </c>
    </row>
    <row r="137" customFormat="false" ht="15" hidden="false" customHeight="false" outlineLevel="0" collapsed="false">
      <c r="A137" s="33" t="n">
        <v>1136</v>
      </c>
      <c r="B137" s="34" t="n">
        <v>46186</v>
      </c>
      <c r="C137" s="33" t="s">
        <v>83</v>
      </c>
      <c r="D137" s="33" t="s">
        <v>58</v>
      </c>
      <c r="E137" s="33" t="s">
        <v>59</v>
      </c>
      <c r="F137" s="33" t="s">
        <v>71</v>
      </c>
      <c r="G137" s="33" t="s">
        <v>74</v>
      </c>
      <c r="H137" s="33" t="n">
        <v>2</v>
      </c>
      <c r="I137" s="35" t="n">
        <v>280</v>
      </c>
      <c r="J137" s="36" t="n">
        <v>0.15</v>
      </c>
      <c r="K137" s="37" t="n">
        <f aca="false">H137*I137*(1-J137)</f>
        <v>476</v>
      </c>
      <c r="L137" s="33" t="s">
        <v>100</v>
      </c>
    </row>
    <row r="138" customFormat="false" ht="15" hidden="false" customHeight="false" outlineLevel="0" collapsed="false">
      <c r="A138" s="33" t="n">
        <v>1137</v>
      </c>
      <c r="B138" s="34" t="n">
        <v>46187</v>
      </c>
      <c r="C138" s="33" t="s">
        <v>85</v>
      </c>
      <c r="D138" s="33" t="s">
        <v>60</v>
      </c>
      <c r="E138" s="33" t="s">
        <v>59</v>
      </c>
      <c r="F138" s="33" t="s">
        <v>73</v>
      </c>
      <c r="G138" s="33" t="s">
        <v>72</v>
      </c>
      <c r="H138" s="33" t="n">
        <v>3</v>
      </c>
      <c r="I138" s="35" t="n">
        <v>180</v>
      </c>
      <c r="J138" s="36" t="n">
        <v>0.1</v>
      </c>
      <c r="K138" s="37" t="n">
        <f aca="false">H138*I138*(1-J138)</f>
        <v>486</v>
      </c>
      <c r="L138" s="33" t="s">
        <v>103</v>
      </c>
    </row>
    <row r="139" customFormat="false" ht="15" hidden="false" customHeight="false" outlineLevel="0" collapsed="false">
      <c r="A139" s="33" t="n">
        <v>1138</v>
      </c>
      <c r="B139" s="34" t="n">
        <v>46188</v>
      </c>
      <c r="C139" s="33" t="s">
        <v>92</v>
      </c>
      <c r="D139" s="33" t="s">
        <v>60</v>
      </c>
      <c r="E139" s="33" t="s">
        <v>61</v>
      </c>
      <c r="F139" s="33" t="s">
        <v>71</v>
      </c>
      <c r="G139" s="33" t="s">
        <v>74</v>
      </c>
      <c r="H139" s="33" t="n">
        <v>4</v>
      </c>
      <c r="I139" s="35" t="n">
        <v>35</v>
      </c>
      <c r="J139" s="36" t="n">
        <v>0.2</v>
      </c>
      <c r="K139" s="37" t="n">
        <f aca="false">H139*I139*(1-J139)</f>
        <v>112</v>
      </c>
      <c r="L139" s="33" t="s">
        <v>103</v>
      </c>
    </row>
    <row r="140" customFormat="false" ht="15" hidden="false" customHeight="false" outlineLevel="0" collapsed="false">
      <c r="A140" s="33" t="n">
        <v>1139</v>
      </c>
      <c r="B140" s="34" t="n">
        <v>46189</v>
      </c>
      <c r="C140" s="33" t="s">
        <v>88</v>
      </c>
      <c r="D140" s="33" t="s">
        <v>56</v>
      </c>
      <c r="E140" s="33" t="s">
        <v>57</v>
      </c>
      <c r="F140" s="33" t="s">
        <v>71</v>
      </c>
      <c r="G140" s="33" t="s">
        <v>72</v>
      </c>
      <c r="H140" s="33" t="n">
        <v>1</v>
      </c>
      <c r="I140" s="35" t="n">
        <v>80</v>
      </c>
      <c r="J140" s="36" t="n">
        <v>0.2</v>
      </c>
      <c r="K140" s="37" t="n">
        <f aca="false">H140*I140*(1-J140)</f>
        <v>64</v>
      </c>
      <c r="L140" s="33" t="s">
        <v>100</v>
      </c>
    </row>
    <row r="141" customFormat="false" ht="15" hidden="false" customHeight="false" outlineLevel="0" collapsed="false">
      <c r="A141" s="33" t="n">
        <v>1140</v>
      </c>
      <c r="B141" s="34" t="n">
        <v>46190</v>
      </c>
      <c r="C141" s="33" t="s">
        <v>82</v>
      </c>
      <c r="D141" s="33" t="s">
        <v>56</v>
      </c>
      <c r="E141" s="33" t="s">
        <v>63</v>
      </c>
      <c r="F141" s="33" t="s">
        <v>69</v>
      </c>
      <c r="G141" s="33" t="s">
        <v>70</v>
      </c>
      <c r="H141" s="33" t="n">
        <v>2</v>
      </c>
      <c r="I141" s="35" t="n">
        <v>650</v>
      </c>
      <c r="J141" s="36" t="n">
        <v>0.15</v>
      </c>
      <c r="K141" s="37" t="n">
        <f aca="false">H141*I141*(1-J141)</f>
        <v>1105</v>
      </c>
      <c r="L141" s="33" t="s">
        <v>101</v>
      </c>
    </row>
    <row r="142" customFormat="false" ht="15" hidden="false" customHeight="false" outlineLevel="0" collapsed="false">
      <c r="A142" s="33" t="n">
        <v>1141</v>
      </c>
      <c r="B142" s="34" t="n">
        <v>46192</v>
      </c>
      <c r="C142" s="33" t="s">
        <v>90</v>
      </c>
      <c r="D142" s="33" t="s">
        <v>58</v>
      </c>
      <c r="E142" s="33" t="s">
        <v>59</v>
      </c>
      <c r="F142" s="33" t="s">
        <v>69</v>
      </c>
      <c r="G142" s="33" t="s">
        <v>70</v>
      </c>
      <c r="H142" s="33" t="n">
        <v>4</v>
      </c>
      <c r="I142" s="35" t="n">
        <v>95</v>
      </c>
      <c r="J142" s="36" t="n">
        <v>0.05</v>
      </c>
      <c r="K142" s="37" t="n">
        <f aca="false">H142*I142*(1-J142)</f>
        <v>361</v>
      </c>
      <c r="L142" s="33" t="s">
        <v>102</v>
      </c>
    </row>
    <row r="143" customFormat="false" ht="15" hidden="false" customHeight="false" outlineLevel="0" collapsed="false">
      <c r="A143" s="33" t="n">
        <v>1142</v>
      </c>
      <c r="B143" s="34" t="n">
        <v>46193</v>
      </c>
      <c r="C143" s="33" t="s">
        <v>93</v>
      </c>
      <c r="D143" s="33" t="s">
        <v>62</v>
      </c>
      <c r="E143" s="33" t="s">
        <v>57</v>
      </c>
      <c r="F143" s="33" t="s">
        <v>73</v>
      </c>
      <c r="G143" s="33" t="s">
        <v>74</v>
      </c>
      <c r="H143" s="33" t="n">
        <v>2</v>
      </c>
      <c r="I143" s="35" t="n">
        <v>25</v>
      </c>
      <c r="J143" s="36" t="n">
        <v>0</v>
      </c>
      <c r="K143" s="37" t="n">
        <f aca="false">H143*I143*(1-J143)</f>
        <v>50</v>
      </c>
      <c r="L143" s="33" t="s">
        <v>100</v>
      </c>
    </row>
    <row r="144" customFormat="false" ht="15" hidden="false" customHeight="false" outlineLevel="0" collapsed="false">
      <c r="A144" s="33" t="n">
        <v>1143</v>
      </c>
      <c r="B144" s="34" t="n">
        <v>46194</v>
      </c>
      <c r="C144" s="33" t="s">
        <v>89</v>
      </c>
      <c r="D144" s="33" t="s">
        <v>62</v>
      </c>
      <c r="E144" s="33" t="s">
        <v>57</v>
      </c>
      <c r="F144" s="33" t="s">
        <v>71</v>
      </c>
      <c r="G144" s="33" t="s">
        <v>72</v>
      </c>
      <c r="H144" s="33" t="n">
        <v>4</v>
      </c>
      <c r="I144" s="35" t="n">
        <v>45</v>
      </c>
      <c r="J144" s="36" t="n">
        <v>0.05</v>
      </c>
      <c r="K144" s="37" t="n">
        <f aca="false">H144*I144*(1-J144)</f>
        <v>171</v>
      </c>
      <c r="L144" s="33" t="s">
        <v>101</v>
      </c>
    </row>
    <row r="145" customFormat="false" ht="15" hidden="false" customHeight="false" outlineLevel="0" collapsed="false">
      <c r="A145" s="33" t="n">
        <v>1144</v>
      </c>
      <c r="B145" s="34" t="n">
        <v>46195</v>
      </c>
      <c r="C145" s="33" t="s">
        <v>92</v>
      </c>
      <c r="D145" s="33" t="s">
        <v>60</v>
      </c>
      <c r="E145" s="33" t="s">
        <v>63</v>
      </c>
      <c r="F145" s="33" t="s">
        <v>69</v>
      </c>
      <c r="G145" s="33" t="s">
        <v>70</v>
      </c>
      <c r="H145" s="33" t="n">
        <v>5</v>
      </c>
      <c r="I145" s="35" t="n">
        <v>35</v>
      </c>
      <c r="J145" s="36" t="n">
        <v>0.2</v>
      </c>
      <c r="K145" s="37" t="n">
        <f aca="false">H145*I145*(1-J145)</f>
        <v>140</v>
      </c>
      <c r="L145" s="33" t="s">
        <v>102</v>
      </c>
    </row>
    <row r="146" customFormat="false" ht="15" hidden="false" customHeight="false" outlineLevel="0" collapsed="false">
      <c r="A146" s="33" t="n">
        <v>1145</v>
      </c>
      <c r="B146" s="34" t="n">
        <v>46196</v>
      </c>
      <c r="C146" s="33" t="s">
        <v>89</v>
      </c>
      <c r="D146" s="33" t="s">
        <v>62</v>
      </c>
      <c r="E146" s="33" t="s">
        <v>61</v>
      </c>
      <c r="F146" s="33" t="s">
        <v>71</v>
      </c>
      <c r="G146" s="33" t="s">
        <v>74</v>
      </c>
      <c r="H146" s="33" t="n">
        <v>4</v>
      </c>
      <c r="I146" s="35" t="n">
        <v>45</v>
      </c>
      <c r="J146" s="36" t="n">
        <v>0.1</v>
      </c>
      <c r="K146" s="37" t="n">
        <f aca="false">H146*I146*(1-J146)</f>
        <v>162</v>
      </c>
      <c r="L146" s="33" t="s">
        <v>103</v>
      </c>
    </row>
    <row r="147" customFormat="false" ht="15" hidden="false" customHeight="false" outlineLevel="0" collapsed="false">
      <c r="A147" s="33" t="n">
        <v>1146</v>
      </c>
      <c r="B147" s="34" t="n">
        <v>46198</v>
      </c>
      <c r="C147" s="33" t="s">
        <v>83</v>
      </c>
      <c r="D147" s="33" t="s">
        <v>58</v>
      </c>
      <c r="E147" s="33" t="s">
        <v>59</v>
      </c>
      <c r="F147" s="33" t="s">
        <v>73</v>
      </c>
      <c r="G147" s="33" t="s">
        <v>70</v>
      </c>
      <c r="H147" s="33" t="n">
        <v>1</v>
      </c>
      <c r="I147" s="35" t="n">
        <v>280</v>
      </c>
      <c r="J147" s="36" t="n">
        <v>0.1</v>
      </c>
      <c r="K147" s="37" t="n">
        <f aca="false">H147*I147*(1-J147)</f>
        <v>252</v>
      </c>
      <c r="L147" s="33" t="s">
        <v>101</v>
      </c>
    </row>
    <row r="148" customFormat="false" ht="15" hidden="false" customHeight="false" outlineLevel="0" collapsed="false">
      <c r="A148" s="33" t="n">
        <v>1147</v>
      </c>
      <c r="B148" s="34" t="n">
        <v>46199</v>
      </c>
      <c r="C148" s="33" t="s">
        <v>83</v>
      </c>
      <c r="D148" s="33" t="s">
        <v>58</v>
      </c>
      <c r="E148" s="33" t="s">
        <v>57</v>
      </c>
      <c r="F148" s="33" t="s">
        <v>73</v>
      </c>
      <c r="G148" s="33" t="s">
        <v>72</v>
      </c>
      <c r="H148" s="33" t="n">
        <v>2</v>
      </c>
      <c r="I148" s="35" t="n">
        <v>280</v>
      </c>
      <c r="J148" s="36" t="n">
        <v>0.15</v>
      </c>
      <c r="K148" s="37" t="n">
        <f aca="false">H148*I148*(1-J148)</f>
        <v>476</v>
      </c>
      <c r="L148" s="33" t="s">
        <v>102</v>
      </c>
    </row>
    <row r="149" customFormat="false" ht="15" hidden="false" customHeight="false" outlineLevel="0" collapsed="false">
      <c r="A149" s="33" t="n">
        <v>1148</v>
      </c>
      <c r="B149" s="34" t="n">
        <v>46200</v>
      </c>
      <c r="C149" s="33" t="s">
        <v>87</v>
      </c>
      <c r="D149" s="33" t="s">
        <v>62</v>
      </c>
      <c r="E149" s="33" t="s">
        <v>61</v>
      </c>
      <c r="F149" s="33" t="s">
        <v>69</v>
      </c>
      <c r="G149" s="33" t="s">
        <v>74</v>
      </c>
      <c r="H149" s="33" t="n">
        <v>1</v>
      </c>
      <c r="I149" s="35" t="n">
        <v>70</v>
      </c>
      <c r="J149" s="36" t="n">
        <v>0.1</v>
      </c>
      <c r="K149" s="37" t="n">
        <f aca="false">H149*I149*(1-J149)</f>
        <v>63</v>
      </c>
      <c r="L149" s="33" t="s">
        <v>103</v>
      </c>
    </row>
    <row r="150" customFormat="false" ht="15" hidden="false" customHeight="false" outlineLevel="0" collapsed="false">
      <c r="A150" s="33" t="n">
        <v>1149</v>
      </c>
      <c r="B150" s="34" t="n">
        <v>46201</v>
      </c>
      <c r="C150" s="33" t="s">
        <v>92</v>
      </c>
      <c r="D150" s="33" t="s">
        <v>60</v>
      </c>
      <c r="E150" s="33" t="s">
        <v>63</v>
      </c>
      <c r="F150" s="33" t="s">
        <v>69</v>
      </c>
      <c r="G150" s="33" t="s">
        <v>74</v>
      </c>
      <c r="H150" s="33" t="n">
        <v>2</v>
      </c>
      <c r="I150" s="35" t="n">
        <v>35</v>
      </c>
      <c r="J150" s="36" t="n">
        <v>0.1</v>
      </c>
      <c r="K150" s="37" t="n">
        <f aca="false">H150*I150*(1-J150)</f>
        <v>63</v>
      </c>
      <c r="L150" s="33" t="s">
        <v>102</v>
      </c>
    </row>
    <row r="151" customFormat="false" ht="15" hidden="false" customHeight="false" outlineLevel="0" collapsed="false">
      <c r="A151" s="33" t="n">
        <v>1150</v>
      </c>
      <c r="B151" s="34" t="n">
        <v>46203</v>
      </c>
      <c r="C151" s="33" t="s">
        <v>87</v>
      </c>
      <c r="D151" s="33" t="s">
        <v>62</v>
      </c>
      <c r="E151" s="33" t="s">
        <v>57</v>
      </c>
      <c r="F151" s="33" t="s">
        <v>69</v>
      </c>
      <c r="G151" s="33" t="s">
        <v>70</v>
      </c>
      <c r="H151" s="33" t="n">
        <v>4</v>
      </c>
      <c r="I151" s="35" t="n">
        <v>70</v>
      </c>
      <c r="J151" s="36" t="n">
        <v>0.1</v>
      </c>
      <c r="K151" s="37" t="n">
        <f aca="false">H151*I151*(1-J151)</f>
        <v>252</v>
      </c>
      <c r="L151" s="33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J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10" min="7" style="0" width="11"/>
  </cols>
  <sheetData>
    <row r="1" customFormat="false" ht="24" hidden="false" customHeight="true" outlineLevel="0" collapsed="false">
      <c r="A1" s="13" t="s">
        <v>104</v>
      </c>
    </row>
    <row r="2" customFormat="false" ht="15" hidden="false" customHeight="false" outlineLevel="0" collapsed="false">
      <c r="A2" s="14" t="s">
        <v>105</v>
      </c>
    </row>
    <row r="3" customFormat="false" ht="15" hidden="false" customHeight="false" outlineLevel="0" collapsed="false">
      <c r="A3" s="15" t="s">
        <v>106</v>
      </c>
    </row>
    <row r="4" customFormat="false" ht="15" hidden="false" customHeight="false" outlineLevel="0" collapsed="false">
      <c r="A4" s="12" t="s">
        <v>39</v>
      </c>
    </row>
    <row r="6" customFormat="false" ht="15" hidden="false" customHeight="false" outlineLevel="0" collapsed="false">
      <c r="A6" s="20" t="s">
        <v>107</v>
      </c>
    </row>
    <row r="7" customFormat="false" ht="15" hidden="false" customHeight="false" outlineLevel="0" collapsed="false">
      <c r="A7" s="38" t="s">
        <v>108</v>
      </c>
      <c r="C7" s="39" t="n">
        <v>0.18</v>
      </c>
      <c r="D7" s="40" t="s">
        <v>109</v>
      </c>
    </row>
    <row r="8" customFormat="false" ht="15" hidden="false" customHeight="false" outlineLevel="0" collapsed="false">
      <c r="A8" s="5" t="s">
        <v>79</v>
      </c>
      <c r="B8" s="5" t="s">
        <v>47</v>
      </c>
      <c r="C8" s="5" t="s">
        <v>110</v>
      </c>
      <c r="D8" s="21" t="s">
        <v>111</v>
      </c>
      <c r="E8" s="21" t="s">
        <v>112</v>
      </c>
      <c r="F8" s="21" t="s">
        <v>113</v>
      </c>
    </row>
    <row r="9" customFormat="false" ht="15" hidden="false" customHeight="false" outlineLevel="0" collapsed="false">
      <c r="A9" s="6" t="s">
        <v>82</v>
      </c>
      <c r="B9" s="6" t="n">
        <v>2</v>
      </c>
      <c r="C9" s="22" t="n">
        <v>50000</v>
      </c>
      <c r="D9" s="22" t="n">
        <f aca="false">B9*C9</f>
        <v>100000</v>
      </c>
      <c r="E9" s="22" t="n">
        <f aca="false">D9*$C$7</f>
        <v>18000</v>
      </c>
      <c r="F9" s="22" t="n">
        <f aca="false">D9+E9</f>
        <v>118000</v>
      </c>
    </row>
    <row r="10" customFormat="false" ht="15" hidden="false" customHeight="false" outlineLevel="0" collapsed="false">
      <c r="A10" s="8" t="s">
        <v>114</v>
      </c>
      <c r="B10" s="8" t="n">
        <v>5</v>
      </c>
      <c r="C10" s="24" t="n">
        <v>20000</v>
      </c>
      <c r="D10" s="24" t="n">
        <f aca="false">B10*C10</f>
        <v>100000</v>
      </c>
      <c r="E10" s="24" t="n">
        <f aca="false">D10*$C$7</f>
        <v>18000</v>
      </c>
      <c r="F10" s="24" t="n">
        <f aca="false">D10+E10</f>
        <v>118000</v>
      </c>
    </row>
    <row r="11" customFormat="false" ht="15" hidden="false" customHeight="false" outlineLevel="0" collapsed="false">
      <c r="A11" s="6" t="s">
        <v>115</v>
      </c>
      <c r="B11" s="6" t="n">
        <v>3</v>
      </c>
      <c r="C11" s="22" t="n">
        <v>35000</v>
      </c>
      <c r="D11" s="22" t="n">
        <f aca="false">B11*C11</f>
        <v>105000</v>
      </c>
      <c r="E11" s="22" t="n">
        <f aca="false">D11*$C$7</f>
        <v>18900</v>
      </c>
      <c r="F11" s="22" t="n">
        <f aca="false">D11+E11</f>
        <v>123900</v>
      </c>
    </row>
    <row r="12" customFormat="false" ht="15" hidden="false" customHeight="false" outlineLevel="0" collapsed="false">
      <c r="A12" s="8" t="s">
        <v>116</v>
      </c>
      <c r="B12" s="8" t="n">
        <v>1</v>
      </c>
      <c r="C12" s="24" t="n">
        <v>45000</v>
      </c>
      <c r="D12" s="24" t="n">
        <f aca="false">B12*C12</f>
        <v>45000</v>
      </c>
      <c r="E12" s="24" t="n">
        <f aca="false">D12*$C$7</f>
        <v>8100</v>
      </c>
      <c r="F12" s="24" t="n">
        <f aca="false">D12+E12</f>
        <v>53100</v>
      </c>
    </row>
    <row r="13" customFormat="false" ht="15" hidden="false" customHeight="false" outlineLevel="0" collapsed="false">
      <c r="A13" s="6" t="s">
        <v>117</v>
      </c>
      <c r="B13" s="6" t="n">
        <v>2</v>
      </c>
      <c r="C13" s="22" t="n">
        <v>30000</v>
      </c>
      <c r="D13" s="22" t="n">
        <f aca="false">B13*C13</f>
        <v>60000</v>
      </c>
      <c r="E13" s="22" t="n">
        <f aca="false">D13*$C$7</f>
        <v>10800</v>
      </c>
      <c r="F13" s="22" t="n">
        <f aca="false">D13+E13</f>
        <v>70800</v>
      </c>
    </row>
    <row r="14" customFormat="false" ht="15" hidden="false" customHeight="false" outlineLevel="0" collapsed="false">
      <c r="A14" s="8" t="s">
        <v>118</v>
      </c>
      <c r="B14" s="8" t="n">
        <v>4</v>
      </c>
      <c r="C14" s="24" t="n">
        <v>15000</v>
      </c>
      <c r="D14" s="24" t="n">
        <f aca="false">B14*C14</f>
        <v>60000</v>
      </c>
      <c r="E14" s="24" t="n">
        <f aca="false">D14*$C$7</f>
        <v>10800</v>
      </c>
      <c r="F14" s="24" t="n">
        <f aca="false">D14+E14</f>
        <v>70800</v>
      </c>
    </row>
    <row r="15" customFormat="false" ht="15" hidden="false" customHeight="false" outlineLevel="0" collapsed="false">
      <c r="A15" s="6" t="s">
        <v>119</v>
      </c>
      <c r="B15" s="6" t="n">
        <v>6</v>
      </c>
      <c r="C15" s="22" t="n">
        <v>5000</v>
      </c>
      <c r="D15" s="22" t="n">
        <f aca="false">B15*C15</f>
        <v>30000</v>
      </c>
      <c r="E15" s="22" t="n">
        <f aca="false">D15*$C$7</f>
        <v>5400</v>
      </c>
      <c r="F15" s="22" t="n">
        <f aca="false">D15+E15</f>
        <v>35400</v>
      </c>
    </row>
    <row r="16" customFormat="false" ht="15" hidden="false" customHeight="false" outlineLevel="0" collapsed="false">
      <c r="A16" s="8" t="s">
        <v>120</v>
      </c>
      <c r="B16" s="8" t="n">
        <v>2</v>
      </c>
      <c r="C16" s="24" t="n">
        <v>40000</v>
      </c>
      <c r="D16" s="24" t="n">
        <f aca="false">B16*C16</f>
        <v>80000</v>
      </c>
      <c r="E16" s="24" t="n">
        <f aca="false">D16*$C$7</f>
        <v>14400</v>
      </c>
      <c r="F16" s="24" t="n">
        <f aca="false">D16+E16</f>
        <v>94400</v>
      </c>
    </row>
    <row r="17" customFormat="false" ht="15" hidden="false" customHeight="false" outlineLevel="0" collapsed="false">
      <c r="A17" s="41" t="s">
        <v>64</v>
      </c>
      <c r="B17" s="42" t="n">
        <f aca="false">SUM(B9:B16)</f>
        <v>25</v>
      </c>
      <c r="C17" s="41"/>
      <c r="D17" s="42" t="n">
        <f aca="false">SUM(D9:D16)</f>
        <v>580000</v>
      </c>
      <c r="E17" s="42" t="n">
        <f aca="false">SUM(E9:E16)</f>
        <v>104400</v>
      </c>
      <c r="F17" s="42" t="n">
        <f aca="false">SUM(F9:F16)</f>
        <v>684400</v>
      </c>
    </row>
    <row r="20" customFormat="false" ht="15" hidden="false" customHeight="false" outlineLevel="0" collapsed="false">
      <c r="A20" s="20" t="s">
        <v>121</v>
      </c>
    </row>
    <row r="21" customFormat="false" ht="15" hidden="false" customHeight="false" outlineLevel="0" collapsed="false">
      <c r="A21" s="5" t="s">
        <v>122</v>
      </c>
      <c r="B21" s="5" t="s">
        <v>123</v>
      </c>
      <c r="C21" s="5" t="s">
        <v>124</v>
      </c>
      <c r="D21" s="5" t="s">
        <v>125</v>
      </c>
      <c r="E21" s="5" t="s">
        <v>126</v>
      </c>
      <c r="F21" s="21" t="s">
        <v>127</v>
      </c>
      <c r="G21" s="21" t="s">
        <v>128</v>
      </c>
      <c r="H21" s="21" t="s">
        <v>129</v>
      </c>
    </row>
    <row r="22" customFormat="false" ht="15" hidden="false" customHeight="false" outlineLevel="0" collapsed="false">
      <c r="A22" s="6" t="s">
        <v>130</v>
      </c>
      <c r="B22" s="6" t="n">
        <v>90</v>
      </c>
      <c r="C22" s="6" t="n">
        <v>95</v>
      </c>
      <c r="D22" s="6" t="n">
        <v>92</v>
      </c>
      <c r="E22" s="6" t="n">
        <v>88</v>
      </c>
      <c r="F22" s="43" t="b">
        <f aca="false">C22&gt;$B22</f>
        <v>1</v>
      </c>
      <c r="G22" s="43" t="b">
        <f aca="false">D22&gt;$B22</f>
        <v>1</v>
      </c>
      <c r="H22" s="43" t="b">
        <f aca="false">E22&gt;$B22</f>
        <v>0</v>
      </c>
    </row>
    <row r="23" customFormat="false" ht="15" hidden="false" customHeight="false" outlineLevel="0" collapsed="false">
      <c r="A23" s="8" t="s">
        <v>131</v>
      </c>
      <c r="B23" s="8" t="n">
        <v>85</v>
      </c>
      <c r="C23" s="8" t="n">
        <v>80</v>
      </c>
      <c r="D23" s="8" t="n">
        <v>90</v>
      </c>
      <c r="E23" s="8" t="n">
        <v>91</v>
      </c>
      <c r="F23" s="44" t="b">
        <f aca="false">C23&gt;$B23</f>
        <v>0</v>
      </c>
      <c r="G23" s="44" t="b">
        <f aca="false">D23&gt;$B23</f>
        <v>1</v>
      </c>
      <c r="H23" s="44" t="b">
        <f aca="false">E23&gt;$B23</f>
        <v>1</v>
      </c>
    </row>
    <row r="24" customFormat="false" ht="15" hidden="false" customHeight="false" outlineLevel="0" collapsed="false">
      <c r="A24" s="6" t="s">
        <v>132</v>
      </c>
      <c r="B24" s="6" t="n">
        <v>95</v>
      </c>
      <c r="C24" s="6" t="n">
        <v>96</v>
      </c>
      <c r="D24" s="6" t="n">
        <v>94</v>
      </c>
      <c r="E24" s="6" t="n">
        <v>97</v>
      </c>
      <c r="F24" s="43" t="b">
        <f aca="false">C24&gt;$B24</f>
        <v>1</v>
      </c>
      <c r="G24" s="43" t="b">
        <f aca="false">D24&gt;$B24</f>
        <v>0</v>
      </c>
      <c r="H24" s="43" t="b">
        <f aca="false">E24&gt;$B24</f>
        <v>1</v>
      </c>
    </row>
    <row r="25" customFormat="false" ht="15" hidden="false" customHeight="false" outlineLevel="0" collapsed="false">
      <c r="A25" s="40" t="s">
        <v>133</v>
      </c>
    </row>
    <row r="28" customFormat="false" ht="15" hidden="false" customHeight="false" outlineLevel="0" collapsed="false">
      <c r="A28" s="20" t="s">
        <v>134</v>
      </c>
    </row>
    <row r="29" customFormat="false" ht="15" hidden="false" customHeight="false" outlineLevel="0" collapsed="false">
      <c r="A29" s="5" t="s">
        <v>79</v>
      </c>
      <c r="B29" s="5" t="s">
        <v>124</v>
      </c>
      <c r="C29" s="5" t="s">
        <v>125</v>
      </c>
      <c r="D29" s="5" t="s">
        <v>126</v>
      </c>
      <c r="E29" s="5" t="s">
        <v>135</v>
      </c>
      <c r="F29" s="45"/>
      <c r="G29" s="21" t="s">
        <v>136</v>
      </c>
      <c r="H29" s="21" t="s">
        <v>137</v>
      </c>
      <c r="I29" s="21" t="s">
        <v>138</v>
      </c>
      <c r="J29" s="21" t="s">
        <v>139</v>
      </c>
    </row>
    <row r="30" customFormat="false" ht="15" hidden="false" customHeight="false" outlineLevel="0" collapsed="false">
      <c r="A30" s="6" t="s">
        <v>140</v>
      </c>
      <c r="B30" s="39" t="n">
        <v>0.05</v>
      </c>
      <c r="C30" s="39" t="n">
        <v>0.08</v>
      </c>
      <c r="D30" s="39" t="n">
        <v>0.1</v>
      </c>
      <c r="E30" s="39" t="n">
        <v>0.12</v>
      </c>
    </row>
    <row r="31" customFormat="false" ht="15" hidden="false" customHeight="false" outlineLevel="0" collapsed="false">
      <c r="A31" s="6" t="s">
        <v>141</v>
      </c>
      <c r="B31" s="22" t="n">
        <v>10000</v>
      </c>
      <c r="C31" s="22" t="n">
        <v>12000</v>
      </c>
      <c r="D31" s="22" t="n">
        <v>15000</v>
      </c>
      <c r="E31" s="22" t="n">
        <v>18000</v>
      </c>
      <c r="G31" s="22" t="n">
        <f aca="false">B31*B$30</f>
        <v>500</v>
      </c>
      <c r="H31" s="22" t="n">
        <f aca="false">C31*C$30</f>
        <v>960</v>
      </c>
      <c r="I31" s="22" t="n">
        <f aca="false">D31*D$30</f>
        <v>1500</v>
      </c>
      <c r="J31" s="22" t="n">
        <f aca="false">E31*E$30</f>
        <v>2160</v>
      </c>
    </row>
    <row r="32" customFormat="false" ht="15" hidden="false" customHeight="false" outlineLevel="0" collapsed="false">
      <c r="A32" s="6" t="s">
        <v>142</v>
      </c>
      <c r="B32" s="22" t="n">
        <v>20000</v>
      </c>
      <c r="C32" s="22" t="n">
        <v>22000</v>
      </c>
      <c r="D32" s="22" t="n">
        <v>25000</v>
      </c>
      <c r="E32" s="22" t="n">
        <v>28000</v>
      </c>
      <c r="G32" s="24" t="n">
        <f aca="false">B32*B$30</f>
        <v>1000</v>
      </c>
      <c r="H32" s="24" t="n">
        <f aca="false">C32*C$30</f>
        <v>1760</v>
      </c>
      <c r="I32" s="24" t="n">
        <f aca="false">D32*D$30</f>
        <v>2500</v>
      </c>
      <c r="J32" s="24" t="n">
        <f aca="false">E32*E$30</f>
        <v>3360</v>
      </c>
    </row>
    <row r="33" customFormat="false" ht="15" hidden="false" customHeight="false" outlineLevel="0" collapsed="false">
      <c r="A33" s="6" t="s">
        <v>143</v>
      </c>
      <c r="B33" s="22" t="n">
        <v>15000</v>
      </c>
      <c r="C33" s="22" t="n">
        <v>18000</v>
      </c>
      <c r="D33" s="22" t="n">
        <v>20000</v>
      </c>
      <c r="E33" s="22" t="n">
        <v>24000</v>
      </c>
      <c r="G33" s="22" t="n">
        <f aca="false">B33*B$30</f>
        <v>750</v>
      </c>
      <c r="H33" s="22" t="n">
        <f aca="false">C33*C$30</f>
        <v>1440</v>
      </c>
      <c r="I33" s="22" t="n">
        <f aca="false">D33*D$30</f>
        <v>2000</v>
      </c>
      <c r="J33" s="22" t="n">
        <f aca="false">E33*E$30</f>
        <v>2880</v>
      </c>
    </row>
    <row r="34" customFormat="false" ht="15" hidden="false" customHeight="false" outlineLevel="0" collapsed="false">
      <c r="A34" s="40" t="s">
        <v>144</v>
      </c>
    </row>
  </sheetData>
  <conditionalFormatting sqref="F22:H24">
    <cfRule type="cellIs" priority="2" operator="equal" aboveAverage="0" equalAverage="0" bottom="0" percent="0" rank="0" text="" dxfId="4">
      <formula>1</formula>
    </cfRule>
    <cfRule type="cellIs" priority="3" operator="equal" aboveAverage="0" equalAverage="0" bottom="0" percent="0" rank="0" text="" dxfId="5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true"/>
  </sheetPr>
  <dimension ref="A1:AC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8"/>
    <col collapsed="false" customWidth="true" hidden="false" outlineLevel="0" max="29" min="3" style="0" width="15"/>
  </cols>
  <sheetData>
    <row r="1" customFormat="false" ht="24" hidden="false" customHeight="true" outlineLevel="0" collapsed="false">
      <c r="A1" s="13" t="s">
        <v>145</v>
      </c>
    </row>
    <row r="2" customFormat="false" ht="15" hidden="false" customHeight="false" outlineLevel="0" collapsed="false">
      <c r="A2" s="14" t="s">
        <v>146</v>
      </c>
    </row>
    <row r="3" customFormat="false" ht="15" hidden="false" customHeight="false" outlineLevel="0" collapsed="false">
      <c r="A3" s="15" t="s">
        <v>147</v>
      </c>
    </row>
    <row r="4" customFormat="false" ht="15" hidden="false" customHeight="false" outlineLevel="0" collapsed="false">
      <c r="A4" s="12" t="s">
        <v>39</v>
      </c>
    </row>
    <row r="6" customFormat="false" ht="30" hidden="false" customHeight="true" outlineLevel="0" collapsed="false">
      <c r="A6" s="5" t="s">
        <v>148</v>
      </c>
      <c r="B6" s="5" t="s">
        <v>149</v>
      </c>
      <c r="C6" s="5" t="s">
        <v>52</v>
      </c>
      <c r="D6" s="5" t="s">
        <v>111</v>
      </c>
      <c r="E6" s="5" t="s">
        <v>47</v>
      </c>
      <c r="F6" s="5" t="s">
        <v>150</v>
      </c>
      <c r="G6" s="5" t="s">
        <v>151</v>
      </c>
      <c r="H6" s="5" t="s">
        <v>152</v>
      </c>
      <c r="I6" s="5" t="s">
        <v>153</v>
      </c>
      <c r="J6" s="21" t="s">
        <v>154</v>
      </c>
      <c r="K6" s="21" t="s">
        <v>155</v>
      </c>
      <c r="L6" s="21" t="s">
        <v>156</v>
      </c>
      <c r="M6" s="21" t="s">
        <v>157</v>
      </c>
      <c r="N6" s="21" t="s">
        <v>158</v>
      </c>
      <c r="O6" s="21" t="s">
        <v>159</v>
      </c>
      <c r="P6" s="21" t="s">
        <v>160</v>
      </c>
      <c r="Q6" s="21" t="s">
        <v>161</v>
      </c>
      <c r="R6" s="21" t="s">
        <v>162</v>
      </c>
      <c r="S6" s="21" t="s">
        <v>163</v>
      </c>
      <c r="T6" s="21" t="s">
        <v>164</v>
      </c>
      <c r="U6" s="21" t="s">
        <v>165</v>
      </c>
      <c r="V6" s="21" t="s">
        <v>166</v>
      </c>
      <c r="W6" s="21" t="s">
        <v>167</v>
      </c>
      <c r="X6" s="21" t="s">
        <v>168</v>
      </c>
      <c r="Y6" s="21" t="s">
        <v>169</v>
      </c>
      <c r="Z6" s="21" t="s">
        <v>170</v>
      </c>
      <c r="AA6" s="21" t="s">
        <v>171</v>
      </c>
      <c r="AB6" s="21" t="s">
        <v>172</v>
      </c>
      <c r="AC6" s="21" t="s">
        <v>173</v>
      </c>
    </row>
    <row r="7" customFormat="false" ht="15" hidden="false" customHeight="false" outlineLevel="0" collapsed="false">
      <c r="A7" s="6" t="s">
        <v>174</v>
      </c>
      <c r="B7" s="6" t="s">
        <v>175</v>
      </c>
      <c r="C7" s="6" t="s">
        <v>56</v>
      </c>
      <c r="D7" s="22" t="n">
        <v>18500</v>
      </c>
      <c r="E7" s="6" t="n">
        <v>2</v>
      </c>
      <c r="F7" s="46" t="n">
        <v>0.1</v>
      </c>
      <c r="G7" s="6" t="s">
        <v>176</v>
      </c>
      <c r="H7" s="6" t="n">
        <v>0</v>
      </c>
      <c r="I7" s="6" t="s">
        <v>177</v>
      </c>
      <c r="J7" s="6" t="str">
        <f aca="false">IF(D7&gt;=10000,"High Sales","Low Sales")</f>
        <v>High Sales</v>
      </c>
      <c r="K7" s="6" t="str">
        <f aca="false">IF(I7="Gold","VIP","Normal")</f>
        <v>VIP</v>
      </c>
      <c r="L7" s="6" t="str">
        <f aca="false">IF(E7&gt;=10,"Bulk Order","Normal Order")</f>
        <v>Normal Order</v>
      </c>
      <c r="M7" s="6" t="str">
        <f aca="false">IF(F7&gt;=15%,"Heavy Discount","Normal Discount")</f>
        <v>Normal Discount</v>
      </c>
      <c r="N7" s="6" t="str">
        <f aca="false">IF(H7&gt;0,"Attention Needed","No Return")</f>
        <v>No Return</v>
      </c>
      <c r="O7" s="6" t="str">
        <f aca="false">IF(AND(D7&gt;=10000,I7="Gold"),"Loyal","Not Loyal")</f>
        <v>Loyal</v>
      </c>
      <c r="P7" s="6" t="str">
        <f aca="false">IF(OR(D7&gt;=15000,E7&gt;=10),"Eligible","Not Eligible")</f>
        <v>Eligible</v>
      </c>
      <c r="Q7" s="22" t="n">
        <f aca="false">IF(D7&gt;=20000,D7+500,D7)</f>
        <v>18500</v>
      </c>
      <c r="R7" s="6" t="str">
        <f aca="false">IF(C7="Electronics","Tech Product","Non-Tech")</f>
        <v>Tech Product</v>
      </c>
      <c r="S7" s="6" t="str">
        <f aca="false">IF(G7="UPI","Digital Payment","Other Payment")</f>
        <v>Other Payment</v>
      </c>
      <c r="T7" s="6" t="str">
        <f aca="false">IF(D7&gt;=20000,"A",IF(D7&gt;=10000,"B",IF(D7&gt;=5000,"C","D")))</f>
        <v>B</v>
      </c>
      <c r="U7" s="22" t="n">
        <f aca="false">IF(C7="Electronics",D7*18%,D7*5%)</f>
        <v>3330</v>
      </c>
      <c r="V7" s="6" t="str">
        <f aca="false">IF(G7="EMI","EMI Purchase","Normal Purchase")</f>
        <v>Normal Purchase</v>
      </c>
      <c r="W7" s="6" t="str">
        <f aca="false">IF(E7&gt;8,"Fast Moving","Slow Moving")</f>
        <v>Slow Moving</v>
      </c>
      <c r="X7" s="6" t="str">
        <f aca="false">IF(AND(D7&gt;20000,G7="Cash"),"Verify Transaction","OK")</f>
        <v>OK</v>
      </c>
      <c r="Y7" s="46" t="n">
        <f aca="false">IF(I7="Platinum",F7+5%,F7)</f>
        <v>0.1</v>
      </c>
      <c r="Z7" s="6" t="str">
        <f aca="false">IF(H7&gt;=2,"High Risk","Low Risk")</f>
        <v>Low Risk</v>
      </c>
      <c r="AA7" s="6" t="str">
        <f aca="false">IF(D7&gt;=15000,"Large Bill","Regular Bill")</f>
        <v>Large Bill</v>
      </c>
      <c r="AB7" s="6" t="str">
        <f aca="false">IF(D7="","Missing Data","Complete")</f>
        <v>Complete</v>
      </c>
      <c r="AC7" s="6" t="str">
        <f aca="false">IF(AND(D7&gt;=10000,H7=0),"Top Customer","Regular")</f>
        <v>Top Customer</v>
      </c>
    </row>
    <row r="8" customFormat="false" ht="15" hidden="false" customHeight="false" outlineLevel="0" collapsed="false">
      <c r="A8" s="8" t="s">
        <v>178</v>
      </c>
      <c r="B8" s="8" t="s">
        <v>179</v>
      </c>
      <c r="C8" s="8" t="s">
        <v>62</v>
      </c>
      <c r="D8" s="24" t="n">
        <v>4200</v>
      </c>
      <c r="E8" s="8" t="n">
        <v>5</v>
      </c>
      <c r="F8" s="47" t="n">
        <v>0.05</v>
      </c>
      <c r="G8" s="8" t="s">
        <v>101</v>
      </c>
      <c r="H8" s="8" t="n">
        <v>1</v>
      </c>
      <c r="I8" s="8" t="s">
        <v>180</v>
      </c>
      <c r="J8" s="8" t="str">
        <f aca="false">IF(D8&gt;=10000,"High Sales","Low Sales")</f>
        <v>Low Sales</v>
      </c>
      <c r="K8" s="8" t="str">
        <f aca="false">IF(I8="Gold","VIP","Normal")</f>
        <v>Normal</v>
      </c>
      <c r="L8" s="8" t="str">
        <f aca="false">IF(E8&gt;=10,"Bulk Order","Normal Order")</f>
        <v>Normal Order</v>
      </c>
      <c r="M8" s="8" t="str">
        <f aca="false">IF(F8&gt;=15%,"Heavy Discount","Normal Discount")</f>
        <v>Normal Discount</v>
      </c>
      <c r="N8" s="8" t="str">
        <f aca="false">IF(H8&gt;0,"Attention Needed","No Return")</f>
        <v>Attention Needed</v>
      </c>
      <c r="O8" s="8" t="str">
        <f aca="false">IF(AND(D8&gt;=10000,I8="Gold"),"Loyal","Not Loyal")</f>
        <v>Not Loyal</v>
      </c>
      <c r="P8" s="8" t="str">
        <f aca="false">IF(OR(D8&gt;=15000,E8&gt;=10),"Eligible","Not Eligible")</f>
        <v>Not Eligible</v>
      </c>
      <c r="Q8" s="24" t="n">
        <f aca="false">IF(D8&gt;=20000,D8+500,D8)</f>
        <v>4200</v>
      </c>
      <c r="R8" s="8" t="str">
        <f aca="false">IF(C8="Electronics","Tech Product","Non-Tech")</f>
        <v>Non-Tech</v>
      </c>
      <c r="S8" s="8" t="str">
        <f aca="false">IF(G8="UPI","Digital Payment","Other Payment")</f>
        <v>Other Payment</v>
      </c>
      <c r="T8" s="8" t="str">
        <f aca="false">IF(D8&gt;=20000,"A",IF(D8&gt;=10000,"B",IF(D8&gt;=5000,"C","D")))</f>
        <v>D</v>
      </c>
      <c r="U8" s="24" t="n">
        <f aca="false">IF(C8="Electronics",D8*18%,D8*5%)</f>
        <v>210</v>
      </c>
      <c r="V8" s="8" t="str">
        <f aca="false">IF(G8="EMI","EMI Purchase","Normal Purchase")</f>
        <v>Normal Purchase</v>
      </c>
      <c r="W8" s="8" t="str">
        <f aca="false">IF(E8&gt;8,"Fast Moving","Slow Moving")</f>
        <v>Slow Moving</v>
      </c>
      <c r="X8" s="8" t="str">
        <f aca="false">IF(AND(D8&gt;20000,G8="Cash"),"Verify Transaction","OK")</f>
        <v>OK</v>
      </c>
      <c r="Y8" s="47" t="n">
        <f aca="false">IF(I8="Platinum",F8+5%,F8)</f>
        <v>0.05</v>
      </c>
      <c r="Z8" s="8" t="str">
        <f aca="false">IF(H8&gt;=2,"High Risk","Low Risk")</f>
        <v>Low Risk</v>
      </c>
      <c r="AA8" s="8" t="str">
        <f aca="false">IF(D8&gt;=15000,"Large Bill","Regular Bill")</f>
        <v>Regular Bill</v>
      </c>
      <c r="AB8" s="8" t="str">
        <f aca="false">IF(D8="","Missing Data","Complete")</f>
        <v>Complete</v>
      </c>
      <c r="AC8" s="8" t="str">
        <f aca="false">IF(AND(D8&gt;=10000,H8=0),"Top Customer","Regular")</f>
        <v>Regular</v>
      </c>
    </row>
    <row r="9" customFormat="false" ht="15" hidden="false" customHeight="false" outlineLevel="0" collapsed="false">
      <c r="A9" s="6" t="s">
        <v>181</v>
      </c>
      <c r="B9" s="6" t="s">
        <v>182</v>
      </c>
      <c r="C9" s="6" t="s">
        <v>183</v>
      </c>
      <c r="D9" s="22" t="n">
        <v>1500</v>
      </c>
      <c r="E9" s="6" t="n">
        <v>12</v>
      </c>
      <c r="F9" s="46" t="n">
        <v>0.02</v>
      </c>
      <c r="G9" s="6" t="s">
        <v>103</v>
      </c>
      <c r="H9" s="6" t="n">
        <v>0</v>
      </c>
      <c r="I9" s="6" t="s">
        <v>184</v>
      </c>
      <c r="J9" s="6" t="str">
        <f aca="false">IF(D9&gt;=10000,"High Sales","Low Sales")</f>
        <v>Low Sales</v>
      </c>
      <c r="K9" s="6" t="str">
        <f aca="false">IF(I9="Gold","VIP","Normal")</f>
        <v>Normal</v>
      </c>
      <c r="L9" s="6" t="str">
        <f aca="false">IF(E9&gt;=10,"Bulk Order","Normal Order")</f>
        <v>Bulk Order</v>
      </c>
      <c r="M9" s="6" t="str">
        <f aca="false">IF(F9&gt;=15%,"Heavy Discount","Normal Discount")</f>
        <v>Normal Discount</v>
      </c>
      <c r="N9" s="6" t="str">
        <f aca="false">IF(H9&gt;0,"Attention Needed","No Return")</f>
        <v>No Return</v>
      </c>
      <c r="O9" s="6" t="str">
        <f aca="false">IF(AND(D9&gt;=10000,I9="Gold"),"Loyal","Not Loyal")</f>
        <v>Not Loyal</v>
      </c>
      <c r="P9" s="6" t="str">
        <f aca="false">IF(OR(D9&gt;=15000,E9&gt;=10),"Eligible","Not Eligible")</f>
        <v>Eligible</v>
      </c>
      <c r="Q9" s="22" t="n">
        <f aca="false">IF(D9&gt;=20000,D9+500,D9)</f>
        <v>1500</v>
      </c>
      <c r="R9" s="6" t="str">
        <f aca="false">IF(C9="Electronics","Tech Product","Non-Tech")</f>
        <v>Non-Tech</v>
      </c>
      <c r="S9" s="6" t="str">
        <f aca="false">IF(G9="UPI","Digital Payment","Other Payment")</f>
        <v>Digital Payment</v>
      </c>
      <c r="T9" s="6" t="str">
        <f aca="false">IF(D9&gt;=20000,"A",IF(D9&gt;=10000,"B",IF(D9&gt;=5000,"C","D")))</f>
        <v>D</v>
      </c>
      <c r="U9" s="22" t="n">
        <f aca="false">IF(C9="Electronics",D9*18%,D9*5%)</f>
        <v>75</v>
      </c>
      <c r="V9" s="6" t="str">
        <f aca="false">IF(G9="EMI","EMI Purchase","Normal Purchase")</f>
        <v>Normal Purchase</v>
      </c>
      <c r="W9" s="6" t="str">
        <f aca="false">IF(E9&gt;8,"Fast Moving","Slow Moving")</f>
        <v>Fast Moving</v>
      </c>
      <c r="X9" s="6" t="str">
        <f aca="false">IF(AND(D9&gt;20000,G9="Cash"),"Verify Transaction","OK")</f>
        <v>OK</v>
      </c>
      <c r="Y9" s="46" t="n">
        <f aca="false">IF(I9="Platinum",F9+5%,F9)</f>
        <v>0.02</v>
      </c>
      <c r="Z9" s="6" t="str">
        <f aca="false">IF(H9&gt;=2,"High Risk","Low Risk")</f>
        <v>Low Risk</v>
      </c>
      <c r="AA9" s="6" t="str">
        <f aca="false">IF(D9&gt;=15000,"Large Bill","Regular Bill")</f>
        <v>Regular Bill</v>
      </c>
      <c r="AB9" s="6" t="str">
        <f aca="false">IF(D9="","Missing Data","Complete")</f>
        <v>Complete</v>
      </c>
      <c r="AC9" s="6" t="str">
        <f aca="false">IF(AND(D9&gt;=10000,H9=0),"Top Customer","Regular")</f>
        <v>Regular</v>
      </c>
    </row>
    <row r="10" customFormat="false" ht="15" hidden="false" customHeight="false" outlineLevel="0" collapsed="false">
      <c r="A10" s="8" t="s">
        <v>185</v>
      </c>
      <c r="B10" s="8" t="s">
        <v>186</v>
      </c>
      <c r="C10" s="8" t="s">
        <v>187</v>
      </c>
      <c r="D10" s="24" t="n">
        <v>9200</v>
      </c>
      <c r="E10" s="8" t="n">
        <v>7</v>
      </c>
      <c r="F10" s="47" t="n">
        <v>0.15</v>
      </c>
      <c r="G10" s="8" t="s">
        <v>176</v>
      </c>
      <c r="H10" s="8" t="n">
        <v>0</v>
      </c>
      <c r="I10" s="8" t="s">
        <v>177</v>
      </c>
      <c r="J10" s="8" t="str">
        <f aca="false">IF(D10&gt;=10000,"High Sales","Low Sales")</f>
        <v>Low Sales</v>
      </c>
      <c r="K10" s="8" t="str">
        <f aca="false">IF(I10="Gold","VIP","Normal")</f>
        <v>VIP</v>
      </c>
      <c r="L10" s="8" t="str">
        <f aca="false">IF(E10&gt;=10,"Bulk Order","Normal Order")</f>
        <v>Normal Order</v>
      </c>
      <c r="M10" s="8" t="str">
        <f aca="false">IF(F10&gt;=15%,"Heavy Discount","Normal Discount")</f>
        <v>Heavy Discount</v>
      </c>
      <c r="N10" s="8" t="str">
        <f aca="false">IF(H10&gt;0,"Attention Needed","No Return")</f>
        <v>No Return</v>
      </c>
      <c r="O10" s="8" t="str">
        <f aca="false">IF(AND(D10&gt;=10000,I10="Gold"),"Loyal","Not Loyal")</f>
        <v>Not Loyal</v>
      </c>
      <c r="P10" s="8" t="str">
        <f aca="false">IF(OR(D10&gt;=15000,E10&gt;=10),"Eligible","Not Eligible")</f>
        <v>Not Eligible</v>
      </c>
      <c r="Q10" s="24" t="n">
        <f aca="false">IF(D10&gt;=20000,D10+500,D10)</f>
        <v>9200</v>
      </c>
      <c r="R10" s="8" t="str">
        <f aca="false">IF(C10="Electronics","Tech Product","Non-Tech")</f>
        <v>Non-Tech</v>
      </c>
      <c r="S10" s="8" t="str">
        <f aca="false">IF(G10="UPI","Digital Payment","Other Payment")</f>
        <v>Other Payment</v>
      </c>
      <c r="T10" s="8" t="str">
        <f aca="false">IF(D10&gt;=20000,"A",IF(D10&gt;=10000,"B",IF(D10&gt;=5000,"C","D")))</f>
        <v>C</v>
      </c>
      <c r="U10" s="24" t="n">
        <f aca="false">IF(C10="Electronics",D10*18%,D10*5%)</f>
        <v>460</v>
      </c>
      <c r="V10" s="8" t="str">
        <f aca="false">IF(G10="EMI","EMI Purchase","Normal Purchase")</f>
        <v>Normal Purchase</v>
      </c>
      <c r="W10" s="8" t="str">
        <f aca="false">IF(E10&gt;8,"Fast Moving","Slow Moving")</f>
        <v>Slow Moving</v>
      </c>
      <c r="X10" s="8" t="str">
        <f aca="false">IF(AND(D10&gt;20000,G10="Cash"),"Verify Transaction","OK")</f>
        <v>OK</v>
      </c>
      <c r="Y10" s="47" t="n">
        <f aca="false">IF(I10="Platinum",F10+5%,F10)</f>
        <v>0.15</v>
      </c>
      <c r="Z10" s="8" t="str">
        <f aca="false">IF(H10&gt;=2,"High Risk","Low Risk")</f>
        <v>Low Risk</v>
      </c>
      <c r="AA10" s="8" t="str">
        <f aca="false">IF(D10&gt;=15000,"Large Bill","Regular Bill")</f>
        <v>Regular Bill</v>
      </c>
      <c r="AB10" s="8" t="str">
        <f aca="false">IF(D10="","Missing Data","Complete")</f>
        <v>Complete</v>
      </c>
      <c r="AC10" s="8" t="str">
        <f aca="false">IF(AND(D10&gt;=10000,H10=0),"Top Customer","Regular")</f>
        <v>Regular</v>
      </c>
    </row>
    <row r="11" customFormat="false" ht="15" hidden="false" customHeight="false" outlineLevel="0" collapsed="false">
      <c r="A11" s="6" t="s">
        <v>188</v>
      </c>
      <c r="B11" s="6" t="s">
        <v>186</v>
      </c>
      <c r="C11" s="6" t="s">
        <v>56</v>
      </c>
      <c r="D11" s="22" t="n">
        <v>25000</v>
      </c>
      <c r="E11" s="6" t="n">
        <v>3</v>
      </c>
      <c r="F11" s="46" t="n">
        <v>0.2</v>
      </c>
      <c r="G11" s="6" t="s">
        <v>189</v>
      </c>
      <c r="H11" s="6" t="n">
        <v>0</v>
      </c>
      <c r="I11" s="6" t="s">
        <v>190</v>
      </c>
      <c r="J11" s="6" t="str">
        <f aca="false">IF(D11&gt;=10000,"High Sales","Low Sales")</f>
        <v>High Sales</v>
      </c>
      <c r="K11" s="6" t="str">
        <f aca="false">IF(I11="Gold","VIP","Normal")</f>
        <v>Normal</v>
      </c>
      <c r="L11" s="6" t="str">
        <f aca="false">IF(E11&gt;=10,"Bulk Order","Normal Order")</f>
        <v>Normal Order</v>
      </c>
      <c r="M11" s="6" t="str">
        <f aca="false">IF(F11&gt;=15%,"Heavy Discount","Normal Discount")</f>
        <v>Heavy Discount</v>
      </c>
      <c r="N11" s="6" t="str">
        <f aca="false">IF(H11&gt;0,"Attention Needed","No Return")</f>
        <v>No Return</v>
      </c>
      <c r="O11" s="6" t="str">
        <f aca="false">IF(AND(D11&gt;=10000,I11="Gold"),"Loyal","Not Loyal")</f>
        <v>Not Loyal</v>
      </c>
      <c r="P11" s="6" t="str">
        <f aca="false">IF(OR(D11&gt;=15000,E11&gt;=10),"Eligible","Not Eligible")</f>
        <v>Eligible</v>
      </c>
      <c r="Q11" s="22" t="n">
        <f aca="false">IF(D11&gt;=20000,D11+500,D11)</f>
        <v>25500</v>
      </c>
      <c r="R11" s="6" t="str">
        <f aca="false">IF(C11="Electronics","Tech Product","Non-Tech")</f>
        <v>Tech Product</v>
      </c>
      <c r="S11" s="6" t="str">
        <f aca="false">IF(G11="UPI","Digital Payment","Other Payment")</f>
        <v>Other Payment</v>
      </c>
      <c r="T11" s="6" t="str">
        <f aca="false">IF(D11&gt;=20000,"A",IF(D11&gt;=10000,"B",IF(D11&gt;=5000,"C","D")))</f>
        <v>A</v>
      </c>
      <c r="U11" s="22" t="n">
        <f aca="false">IF(C11="Electronics",D11*18%,D11*5%)</f>
        <v>4500</v>
      </c>
      <c r="V11" s="6" t="str">
        <f aca="false">IF(G11="EMI","EMI Purchase","Normal Purchase")</f>
        <v>EMI Purchase</v>
      </c>
      <c r="W11" s="6" t="str">
        <f aca="false">IF(E11&gt;8,"Fast Moving","Slow Moving")</f>
        <v>Slow Moving</v>
      </c>
      <c r="X11" s="6" t="str">
        <f aca="false">IF(AND(D11&gt;20000,G11="Cash"),"Verify Transaction","OK")</f>
        <v>OK</v>
      </c>
      <c r="Y11" s="46" t="n">
        <f aca="false">IF(I11="Platinum",F11+5%,F11)</f>
        <v>0.25</v>
      </c>
      <c r="Z11" s="6" t="str">
        <f aca="false">IF(H11&gt;=2,"High Risk","Low Risk")</f>
        <v>Low Risk</v>
      </c>
      <c r="AA11" s="6" t="str">
        <f aca="false">IF(D11&gt;=15000,"Large Bill","Regular Bill")</f>
        <v>Large Bill</v>
      </c>
      <c r="AB11" s="6" t="str">
        <f aca="false">IF(D11="","Missing Data","Complete")</f>
        <v>Complete</v>
      </c>
      <c r="AC11" s="6" t="str">
        <f aca="false">IF(AND(D11&gt;=10000,H11=0),"Top Customer","Regular")</f>
        <v>Top Customer</v>
      </c>
    </row>
    <row r="12" customFormat="false" ht="15" hidden="false" customHeight="false" outlineLevel="0" collapsed="false">
      <c r="A12" s="8" t="s">
        <v>191</v>
      </c>
      <c r="B12" s="8" t="s">
        <v>192</v>
      </c>
      <c r="C12" s="8" t="s">
        <v>183</v>
      </c>
      <c r="D12" s="24" t="n">
        <v>1800</v>
      </c>
      <c r="E12" s="8" t="n">
        <v>10</v>
      </c>
      <c r="F12" s="47" t="n">
        <v>0</v>
      </c>
      <c r="G12" s="8" t="s">
        <v>101</v>
      </c>
      <c r="H12" s="8" t="n">
        <v>2</v>
      </c>
      <c r="I12" s="8" t="s">
        <v>184</v>
      </c>
      <c r="J12" s="8" t="str">
        <f aca="false">IF(D12&gt;=10000,"High Sales","Low Sales")</f>
        <v>Low Sales</v>
      </c>
      <c r="K12" s="8" t="str">
        <f aca="false">IF(I12="Gold","VIP","Normal")</f>
        <v>Normal</v>
      </c>
      <c r="L12" s="8" t="str">
        <f aca="false">IF(E12&gt;=10,"Bulk Order","Normal Order")</f>
        <v>Bulk Order</v>
      </c>
      <c r="M12" s="8" t="str">
        <f aca="false">IF(F12&gt;=15%,"Heavy Discount","Normal Discount")</f>
        <v>Normal Discount</v>
      </c>
      <c r="N12" s="8" t="str">
        <f aca="false">IF(H12&gt;0,"Attention Needed","No Return")</f>
        <v>Attention Needed</v>
      </c>
      <c r="O12" s="8" t="str">
        <f aca="false">IF(AND(D12&gt;=10000,I12="Gold"),"Loyal","Not Loyal")</f>
        <v>Not Loyal</v>
      </c>
      <c r="P12" s="8" t="str">
        <f aca="false">IF(OR(D12&gt;=15000,E12&gt;=10),"Eligible","Not Eligible")</f>
        <v>Eligible</v>
      </c>
      <c r="Q12" s="24" t="n">
        <f aca="false">IF(D12&gt;=20000,D12+500,D12)</f>
        <v>1800</v>
      </c>
      <c r="R12" s="8" t="str">
        <f aca="false">IF(C12="Electronics","Tech Product","Non-Tech")</f>
        <v>Non-Tech</v>
      </c>
      <c r="S12" s="8" t="str">
        <f aca="false">IF(G12="UPI","Digital Payment","Other Payment")</f>
        <v>Other Payment</v>
      </c>
      <c r="T12" s="8" t="str">
        <f aca="false">IF(D12&gt;=20000,"A",IF(D12&gt;=10000,"B",IF(D12&gt;=5000,"C","D")))</f>
        <v>D</v>
      </c>
      <c r="U12" s="24" t="n">
        <f aca="false">IF(C12="Electronics",D12*18%,D12*5%)</f>
        <v>90</v>
      </c>
      <c r="V12" s="8" t="str">
        <f aca="false">IF(G12="EMI","EMI Purchase","Normal Purchase")</f>
        <v>Normal Purchase</v>
      </c>
      <c r="W12" s="8" t="str">
        <f aca="false">IF(E12&gt;8,"Fast Moving","Slow Moving")</f>
        <v>Fast Moving</v>
      </c>
      <c r="X12" s="8" t="str">
        <f aca="false">IF(AND(D12&gt;20000,G12="Cash"),"Verify Transaction","OK")</f>
        <v>OK</v>
      </c>
      <c r="Y12" s="47" t="n">
        <f aca="false">IF(I12="Platinum",F12+5%,F12)</f>
        <v>0</v>
      </c>
      <c r="Z12" s="8" t="str">
        <f aca="false">IF(H12&gt;=2,"High Risk","Low Risk")</f>
        <v>High Risk</v>
      </c>
      <c r="AA12" s="8" t="str">
        <f aca="false">IF(D12&gt;=15000,"Large Bill","Regular Bill")</f>
        <v>Regular Bill</v>
      </c>
      <c r="AB12" s="8" t="str">
        <f aca="false">IF(D12="","Missing Data","Complete")</f>
        <v>Complete</v>
      </c>
      <c r="AC12" s="8" t="str">
        <f aca="false">IF(AND(D12&gt;=10000,H12=0),"Top Customer","Regular")</f>
        <v>Regular</v>
      </c>
    </row>
    <row r="13" customFormat="false" ht="15" hidden="false" customHeight="false" outlineLevel="0" collapsed="false">
      <c r="A13" s="6" t="s">
        <v>193</v>
      </c>
      <c r="B13" s="6" t="s">
        <v>194</v>
      </c>
      <c r="C13" s="6" t="s">
        <v>62</v>
      </c>
      <c r="D13" s="22" t="n">
        <v>12500</v>
      </c>
      <c r="E13" s="6" t="n">
        <v>9</v>
      </c>
      <c r="F13" s="46" t="n">
        <v>0.12</v>
      </c>
      <c r="G13" s="6" t="s">
        <v>176</v>
      </c>
      <c r="H13" s="6" t="n">
        <v>0</v>
      </c>
      <c r="I13" s="6" t="s">
        <v>177</v>
      </c>
      <c r="J13" s="6" t="str">
        <f aca="false">IF(D13&gt;=10000,"High Sales","Low Sales")</f>
        <v>High Sales</v>
      </c>
      <c r="K13" s="6" t="str">
        <f aca="false">IF(I13="Gold","VIP","Normal")</f>
        <v>VIP</v>
      </c>
      <c r="L13" s="6" t="str">
        <f aca="false">IF(E13&gt;=10,"Bulk Order","Normal Order")</f>
        <v>Normal Order</v>
      </c>
      <c r="M13" s="6" t="str">
        <f aca="false">IF(F13&gt;=15%,"Heavy Discount","Normal Discount")</f>
        <v>Normal Discount</v>
      </c>
      <c r="N13" s="6" t="str">
        <f aca="false">IF(H13&gt;0,"Attention Needed","No Return")</f>
        <v>No Return</v>
      </c>
      <c r="O13" s="6" t="str">
        <f aca="false">IF(AND(D13&gt;=10000,I13="Gold"),"Loyal","Not Loyal")</f>
        <v>Loyal</v>
      </c>
      <c r="P13" s="6" t="str">
        <f aca="false">IF(OR(D13&gt;=15000,E13&gt;=10),"Eligible","Not Eligible")</f>
        <v>Not Eligible</v>
      </c>
      <c r="Q13" s="22" t="n">
        <f aca="false">IF(D13&gt;=20000,D13+500,D13)</f>
        <v>12500</v>
      </c>
      <c r="R13" s="6" t="str">
        <f aca="false">IF(C13="Electronics","Tech Product","Non-Tech")</f>
        <v>Non-Tech</v>
      </c>
      <c r="S13" s="6" t="str">
        <f aca="false">IF(G13="UPI","Digital Payment","Other Payment")</f>
        <v>Other Payment</v>
      </c>
      <c r="T13" s="6" t="str">
        <f aca="false">IF(D13&gt;=20000,"A",IF(D13&gt;=10000,"B",IF(D13&gt;=5000,"C","D")))</f>
        <v>B</v>
      </c>
      <c r="U13" s="22" t="n">
        <f aca="false">IF(C13="Electronics",D13*18%,D13*5%)</f>
        <v>625</v>
      </c>
      <c r="V13" s="6" t="str">
        <f aca="false">IF(G13="EMI","EMI Purchase","Normal Purchase")</f>
        <v>Normal Purchase</v>
      </c>
      <c r="W13" s="6" t="str">
        <f aca="false">IF(E13&gt;8,"Fast Moving","Slow Moving")</f>
        <v>Fast Moving</v>
      </c>
      <c r="X13" s="6" t="str">
        <f aca="false">IF(AND(D13&gt;20000,G13="Cash"),"Verify Transaction","OK")</f>
        <v>OK</v>
      </c>
      <c r="Y13" s="46" t="n">
        <f aca="false">IF(I13="Platinum",F13+5%,F13)</f>
        <v>0.12</v>
      </c>
      <c r="Z13" s="6" t="str">
        <f aca="false">IF(H13&gt;=2,"High Risk","Low Risk")</f>
        <v>Low Risk</v>
      </c>
      <c r="AA13" s="6" t="str">
        <f aca="false">IF(D13&gt;=15000,"Large Bill","Regular Bill")</f>
        <v>Regular Bill</v>
      </c>
      <c r="AB13" s="6" t="str">
        <f aca="false">IF(D13="","Missing Data","Complete")</f>
        <v>Complete</v>
      </c>
      <c r="AC13" s="6" t="str">
        <f aca="false">IF(AND(D13&gt;=10000,H13=0),"Top Customer","Regular")</f>
        <v>Top Customer</v>
      </c>
    </row>
    <row r="14" customFormat="false" ht="15" hidden="false" customHeight="false" outlineLevel="0" collapsed="false">
      <c r="A14" s="8" t="s">
        <v>195</v>
      </c>
      <c r="B14" s="8" t="s">
        <v>196</v>
      </c>
      <c r="C14" s="8" t="s">
        <v>56</v>
      </c>
      <c r="D14" s="24" t="n">
        <v>8000</v>
      </c>
      <c r="E14" s="8" t="n">
        <v>1</v>
      </c>
      <c r="F14" s="47" t="n">
        <v>0.05</v>
      </c>
      <c r="G14" s="8" t="s">
        <v>103</v>
      </c>
      <c r="H14" s="8" t="n">
        <v>0</v>
      </c>
      <c r="I14" s="8" t="s">
        <v>180</v>
      </c>
      <c r="J14" s="8" t="str">
        <f aca="false">IF(D14&gt;=10000,"High Sales","Low Sales")</f>
        <v>Low Sales</v>
      </c>
      <c r="K14" s="8" t="str">
        <f aca="false">IF(I14="Gold","VIP","Normal")</f>
        <v>Normal</v>
      </c>
      <c r="L14" s="8" t="str">
        <f aca="false">IF(E14&gt;=10,"Bulk Order","Normal Order")</f>
        <v>Normal Order</v>
      </c>
      <c r="M14" s="8" t="str">
        <f aca="false">IF(F14&gt;=15%,"Heavy Discount","Normal Discount")</f>
        <v>Normal Discount</v>
      </c>
      <c r="N14" s="8" t="str">
        <f aca="false">IF(H14&gt;0,"Attention Needed","No Return")</f>
        <v>No Return</v>
      </c>
      <c r="O14" s="8" t="str">
        <f aca="false">IF(AND(D14&gt;=10000,I14="Gold"),"Loyal","Not Loyal")</f>
        <v>Not Loyal</v>
      </c>
      <c r="P14" s="8" t="str">
        <f aca="false">IF(OR(D14&gt;=15000,E14&gt;=10),"Eligible","Not Eligible")</f>
        <v>Not Eligible</v>
      </c>
      <c r="Q14" s="24" t="n">
        <f aca="false">IF(D14&gt;=20000,D14+500,D14)</f>
        <v>8000</v>
      </c>
      <c r="R14" s="8" t="str">
        <f aca="false">IF(C14="Electronics","Tech Product","Non-Tech")</f>
        <v>Tech Product</v>
      </c>
      <c r="S14" s="8" t="str">
        <f aca="false">IF(G14="UPI","Digital Payment","Other Payment")</f>
        <v>Digital Payment</v>
      </c>
      <c r="T14" s="8" t="str">
        <f aca="false">IF(D14&gt;=20000,"A",IF(D14&gt;=10000,"B",IF(D14&gt;=5000,"C","D")))</f>
        <v>C</v>
      </c>
      <c r="U14" s="24" t="n">
        <f aca="false">IF(C14="Electronics",D14*18%,D14*5%)</f>
        <v>1440</v>
      </c>
      <c r="V14" s="8" t="str">
        <f aca="false">IF(G14="EMI","EMI Purchase","Normal Purchase")</f>
        <v>Normal Purchase</v>
      </c>
      <c r="W14" s="8" t="str">
        <f aca="false">IF(E14&gt;8,"Fast Moving","Slow Moving")</f>
        <v>Slow Moving</v>
      </c>
      <c r="X14" s="8" t="str">
        <f aca="false">IF(AND(D14&gt;20000,G14="Cash"),"Verify Transaction","OK")</f>
        <v>OK</v>
      </c>
      <c r="Y14" s="47" t="n">
        <f aca="false">IF(I14="Platinum",F14+5%,F14)</f>
        <v>0.05</v>
      </c>
      <c r="Z14" s="8" t="str">
        <f aca="false">IF(H14&gt;=2,"High Risk","Low Risk")</f>
        <v>Low Risk</v>
      </c>
      <c r="AA14" s="8" t="str">
        <f aca="false">IF(D14&gt;=15000,"Large Bill","Regular Bill")</f>
        <v>Regular Bill</v>
      </c>
      <c r="AB14" s="8" t="str">
        <f aca="false">IF(D14="","Missing Data","Complete")</f>
        <v>Complete</v>
      </c>
      <c r="AC14" s="8" t="str">
        <f aca="false">IF(AND(D14&gt;=10000,H14=0),"Top Customer","Regular")</f>
        <v>Regular</v>
      </c>
    </row>
    <row r="15" customFormat="false" ht="15" hidden="false" customHeight="false" outlineLevel="0" collapsed="false">
      <c r="A15" s="6" t="s">
        <v>197</v>
      </c>
      <c r="B15" s="6" t="s">
        <v>198</v>
      </c>
      <c r="C15" s="6" t="s">
        <v>187</v>
      </c>
      <c r="D15" s="22" t="n">
        <v>6700</v>
      </c>
      <c r="E15" s="6" t="n">
        <v>6</v>
      </c>
      <c r="F15" s="46" t="n">
        <v>0.08</v>
      </c>
      <c r="G15" s="6" t="s">
        <v>101</v>
      </c>
      <c r="H15" s="6" t="n">
        <v>1</v>
      </c>
      <c r="I15" s="6" t="s">
        <v>184</v>
      </c>
      <c r="J15" s="6" t="str">
        <f aca="false">IF(D15&gt;=10000,"High Sales","Low Sales")</f>
        <v>Low Sales</v>
      </c>
      <c r="K15" s="6" t="str">
        <f aca="false">IF(I15="Gold","VIP","Normal")</f>
        <v>Normal</v>
      </c>
      <c r="L15" s="6" t="str">
        <f aca="false">IF(E15&gt;=10,"Bulk Order","Normal Order")</f>
        <v>Normal Order</v>
      </c>
      <c r="M15" s="6" t="str">
        <f aca="false">IF(F15&gt;=15%,"Heavy Discount","Normal Discount")</f>
        <v>Normal Discount</v>
      </c>
      <c r="N15" s="6" t="str">
        <f aca="false">IF(H15&gt;0,"Attention Needed","No Return")</f>
        <v>Attention Needed</v>
      </c>
      <c r="O15" s="6" t="str">
        <f aca="false">IF(AND(D15&gt;=10000,I15="Gold"),"Loyal","Not Loyal")</f>
        <v>Not Loyal</v>
      </c>
      <c r="P15" s="6" t="str">
        <f aca="false">IF(OR(D15&gt;=15000,E15&gt;=10),"Eligible","Not Eligible")</f>
        <v>Not Eligible</v>
      </c>
      <c r="Q15" s="22" t="n">
        <f aca="false">IF(D15&gt;=20000,D15+500,D15)</f>
        <v>6700</v>
      </c>
      <c r="R15" s="6" t="str">
        <f aca="false">IF(C15="Electronics","Tech Product","Non-Tech")</f>
        <v>Non-Tech</v>
      </c>
      <c r="S15" s="6" t="str">
        <f aca="false">IF(G15="UPI","Digital Payment","Other Payment")</f>
        <v>Other Payment</v>
      </c>
      <c r="T15" s="6" t="str">
        <f aca="false">IF(D15&gt;=20000,"A",IF(D15&gt;=10000,"B",IF(D15&gt;=5000,"C","D")))</f>
        <v>C</v>
      </c>
      <c r="U15" s="22" t="n">
        <f aca="false">IF(C15="Electronics",D15*18%,D15*5%)</f>
        <v>335</v>
      </c>
      <c r="V15" s="6" t="str">
        <f aca="false">IF(G15="EMI","EMI Purchase","Normal Purchase")</f>
        <v>Normal Purchase</v>
      </c>
      <c r="W15" s="6" t="str">
        <f aca="false">IF(E15&gt;8,"Fast Moving","Slow Moving")</f>
        <v>Slow Moving</v>
      </c>
      <c r="X15" s="6" t="str">
        <f aca="false">IF(AND(D15&gt;20000,G15="Cash"),"Verify Transaction","OK")</f>
        <v>OK</v>
      </c>
      <c r="Y15" s="46" t="n">
        <f aca="false">IF(I15="Platinum",F15+5%,F15)</f>
        <v>0.08</v>
      </c>
      <c r="Z15" s="6" t="str">
        <f aca="false">IF(H15&gt;=2,"High Risk","Low Risk")</f>
        <v>Low Risk</v>
      </c>
      <c r="AA15" s="6" t="str">
        <f aca="false">IF(D15&gt;=15000,"Large Bill","Regular Bill")</f>
        <v>Regular Bill</v>
      </c>
      <c r="AB15" s="6" t="str">
        <f aca="false">IF(D15="","Missing Data","Complete")</f>
        <v>Complete</v>
      </c>
      <c r="AC15" s="6" t="str">
        <f aca="false">IF(AND(D15&gt;=10000,H15=0),"Top Customer","Regular")</f>
        <v>Regular</v>
      </c>
    </row>
    <row r="16" customFormat="false" ht="15" hidden="false" customHeight="false" outlineLevel="0" collapsed="false">
      <c r="A16" s="8" t="s">
        <v>199</v>
      </c>
      <c r="B16" s="8" t="s">
        <v>200</v>
      </c>
      <c r="C16" s="8" t="s">
        <v>183</v>
      </c>
      <c r="D16" s="24" t="n">
        <v>2300</v>
      </c>
      <c r="E16" s="8" t="n">
        <v>15</v>
      </c>
      <c r="F16" s="47" t="n">
        <v>0</v>
      </c>
      <c r="G16" s="8" t="s">
        <v>103</v>
      </c>
      <c r="H16" s="8" t="n">
        <v>0</v>
      </c>
      <c r="I16" s="8" t="s">
        <v>180</v>
      </c>
      <c r="J16" s="8" t="str">
        <f aca="false">IF(D16&gt;=10000,"High Sales","Low Sales")</f>
        <v>Low Sales</v>
      </c>
      <c r="K16" s="8" t="str">
        <f aca="false">IF(I16="Gold","VIP","Normal")</f>
        <v>Normal</v>
      </c>
      <c r="L16" s="8" t="str">
        <f aca="false">IF(E16&gt;=10,"Bulk Order","Normal Order")</f>
        <v>Bulk Order</v>
      </c>
      <c r="M16" s="8" t="str">
        <f aca="false">IF(F16&gt;=15%,"Heavy Discount","Normal Discount")</f>
        <v>Normal Discount</v>
      </c>
      <c r="N16" s="8" t="str">
        <f aca="false">IF(H16&gt;0,"Attention Needed","No Return")</f>
        <v>No Return</v>
      </c>
      <c r="O16" s="8" t="str">
        <f aca="false">IF(AND(D16&gt;=10000,I16="Gold"),"Loyal","Not Loyal")</f>
        <v>Not Loyal</v>
      </c>
      <c r="P16" s="8" t="str">
        <f aca="false">IF(OR(D16&gt;=15000,E16&gt;=10),"Eligible","Not Eligible")</f>
        <v>Eligible</v>
      </c>
      <c r="Q16" s="24" t="n">
        <f aca="false">IF(D16&gt;=20000,D16+500,D16)</f>
        <v>2300</v>
      </c>
      <c r="R16" s="8" t="str">
        <f aca="false">IF(C16="Electronics","Tech Product","Non-Tech")</f>
        <v>Non-Tech</v>
      </c>
      <c r="S16" s="8" t="str">
        <f aca="false">IF(G16="UPI","Digital Payment","Other Payment")</f>
        <v>Digital Payment</v>
      </c>
      <c r="T16" s="8" t="str">
        <f aca="false">IF(D16&gt;=20000,"A",IF(D16&gt;=10000,"B",IF(D16&gt;=5000,"C","D")))</f>
        <v>D</v>
      </c>
      <c r="U16" s="24" t="n">
        <f aca="false">IF(C16="Electronics",D16*18%,D16*5%)</f>
        <v>115</v>
      </c>
      <c r="V16" s="8" t="str">
        <f aca="false">IF(G16="EMI","EMI Purchase","Normal Purchase")</f>
        <v>Normal Purchase</v>
      </c>
      <c r="W16" s="8" t="str">
        <f aca="false">IF(E16&gt;8,"Fast Moving","Slow Moving")</f>
        <v>Fast Moving</v>
      </c>
      <c r="X16" s="8" t="str">
        <f aca="false">IF(AND(D16&gt;20000,G16="Cash"),"Verify Transaction","OK")</f>
        <v>OK</v>
      </c>
      <c r="Y16" s="47" t="n">
        <f aca="false">IF(I16="Platinum",F16+5%,F16)</f>
        <v>0</v>
      </c>
      <c r="Z16" s="8" t="str">
        <f aca="false">IF(H16&gt;=2,"High Risk","Low Risk")</f>
        <v>Low Risk</v>
      </c>
      <c r="AA16" s="8" t="str">
        <f aca="false">IF(D16&gt;=15000,"Large Bill","Regular Bill")</f>
        <v>Regular Bill</v>
      </c>
      <c r="AB16" s="8" t="str">
        <f aca="false">IF(D16="","Missing Data","Complete")</f>
        <v>Complete</v>
      </c>
      <c r="AC16" s="8" t="str">
        <f aca="false">IF(AND(D16&gt;=10000,H16=0),"Top Customer","Regular")</f>
        <v>Regular</v>
      </c>
    </row>
    <row r="19" customFormat="false" ht="15" hidden="false" customHeight="false" outlineLevel="0" collapsed="false">
      <c r="A19" s="20" t="s">
        <v>201</v>
      </c>
    </row>
    <row r="20" customFormat="false" ht="15" hidden="false" customHeight="true" outlineLevel="0" collapsed="false">
      <c r="A20" s="5" t="s">
        <v>4</v>
      </c>
      <c r="B20" s="5" t="s">
        <v>202</v>
      </c>
      <c r="C20" s="48" t="s">
        <v>203</v>
      </c>
      <c r="D20" s="48"/>
      <c r="E20" s="48"/>
      <c r="F20" s="48"/>
      <c r="G20" s="48"/>
      <c r="H20" s="48"/>
      <c r="I20" s="48" t="s">
        <v>204</v>
      </c>
      <c r="J20" s="48"/>
      <c r="K20" s="48"/>
      <c r="L20" s="48"/>
      <c r="M20" s="48"/>
      <c r="N20" s="48"/>
      <c r="O20" s="48"/>
      <c r="P20" s="48"/>
      <c r="Q20" s="48"/>
    </row>
    <row r="21" customFormat="false" ht="18" hidden="false" customHeight="true" outlineLevel="0" collapsed="false">
      <c r="A21" s="49" t="n">
        <v>1</v>
      </c>
      <c r="B21" s="50" t="s">
        <v>154</v>
      </c>
      <c r="C21" s="49" t="s">
        <v>205</v>
      </c>
      <c r="D21" s="49"/>
      <c r="E21" s="49"/>
      <c r="F21" s="49"/>
      <c r="G21" s="49"/>
      <c r="H21" s="49"/>
      <c r="I21" s="49" t="s">
        <v>206</v>
      </c>
      <c r="J21" s="49"/>
      <c r="K21" s="49"/>
      <c r="L21" s="49"/>
      <c r="M21" s="49"/>
      <c r="N21" s="49"/>
      <c r="O21" s="49"/>
      <c r="P21" s="49"/>
      <c r="Q21" s="49"/>
    </row>
    <row r="22" customFormat="false" ht="18" hidden="false" customHeight="true" outlineLevel="0" collapsed="false">
      <c r="A22" s="51" t="n">
        <v>2</v>
      </c>
      <c r="B22" s="52" t="s">
        <v>155</v>
      </c>
      <c r="C22" s="51" t="s">
        <v>207</v>
      </c>
      <c r="D22" s="51"/>
      <c r="E22" s="51"/>
      <c r="F22" s="51"/>
      <c r="G22" s="51"/>
      <c r="H22" s="51"/>
      <c r="I22" s="51" t="s">
        <v>208</v>
      </c>
      <c r="J22" s="51"/>
      <c r="K22" s="51"/>
      <c r="L22" s="51"/>
      <c r="M22" s="51"/>
      <c r="N22" s="51"/>
      <c r="O22" s="51"/>
      <c r="P22" s="51"/>
      <c r="Q22" s="51"/>
    </row>
    <row r="23" customFormat="false" ht="18" hidden="false" customHeight="true" outlineLevel="0" collapsed="false">
      <c r="A23" s="49" t="n">
        <v>3</v>
      </c>
      <c r="B23" s="50" t="s">
        <v>156</v>
      </c>
      <c r="C23" s="49" t="s">
        <v>209</v>
      </c>
      <c r="D23" s="49"/>
      <c r="E23" s="49"/>
      <c r="F23" s="49"/>
      <c r="G23" s="49"/>
      <c r="H23" s="49"/>
      <c r="I23" s="49" t="s">
        <v>210</v>
      </c>
      <c r="J23" s="49"/>
      <c r="K23" s="49"/>
      <c r="L23" s="49"/>
      <c r="M23" s="49"/>
      <c r="N23" s="49"/>
      <c r="O23" s="49"/>
      <c r="P23" s="49"/>
      <c r="Q23" s="49"/>
    </row>
    <row r="24" customFormat="false" ht="18" hidden="false" customHeight="true" outlineLevel="0" collapsed="false">
      <c r="A24" s="51" t="n">
        <v>4</v>
      </c>
      <c r="B24" s="52" t="s">
        <v>157</v>
      </c>
      <c r="C24" s="51" t="s">
        <v>211</v>
      </c>
      <c r="D24" s="51"/>
      <c r="E24" s="51"/>
      <c r="F24" s="51"/>
      <c r="G24" s="51"/>
      <c r="H24" s="51"/>
      <c r="I24" s="51" t="s">
        <v>212</v>
      </c>
      <c r="J24" s="51"/>
      <c r="K24" s="51"/>
      <c r="L24" s="51"/>
      <c r="M24" s="51"/>
      <c r="N24" s="51"/>
      <c r="O24" s="51"/>
      <c r="P24" s="51"/>
      <c r="Q24" s="51"/>
    </row>
    <row r="25" customFormat="false" ht="18" hidden="false" customHeight="true" outlineLevel="0" collapsed="false">
      <c r="A25" s="49" t="n">
        <v>5</v>
      </c>
      <c r="B25" s="50" t="s">
        <v>158</v>
      </c>
      <c r="C25" s="49" t="s">
        <v>213</v>
      </c>
      <c r="D25" s="49"/>
      <c r="E25" s="49"/>
      <c r="F25" s="49"/>
      <c r="G25" s="49"/>
      <c r="H25" s="49"/>
      <c r="I25" s="49" t="s">
        <v>214</v>
      </c>
      <c r="J25" s="49"/>
      <c r="K25" s="49"/>
      <c r="L25" s="49"/>
      <c r="M25" s="49"/>
      <c r="N25" s="49"/>
      <c r="O25" s="49"/>
      <c r="P25" s="49"/>
      <c r="Q25" s="49"/>
    </row>
    <row r="26" customFormat="false" ht="18" hidden="false" customHeight="true" outlineLevel="0" collapsed="false">
      <c r="A26" s="51" t="n">
        <v>6</v>
      </c>
      <c r="B26" s="52" t="s">
        <v>159</v>
      </c>
      <c r="C26" s="51" t="s">
        <v>215</v>
      </c>
      <c r="D26" s="51"/>
      <c r="E26" s="51"/>
      <c r="F26" s="51"/>
      <c r="G26" s="51"/>
      <c r="H26" s="51"/>
      <c r="I26" s="51" t="s">
        <v>216</v>
      </c>
      <c r="J26" s="51"/>
      <c r="K26" s="51"/>
      <c r="L26" s="51"/>
      <c r="M26" s="51"/>
      <c r="N26" s="51"/>
      <c r="O26" s="51"/>
      <c r="P26" s="51"/>
      <c r="Q26" s="51"/>
    </row>
    <row r="27" customFormat="false" ht="18" hidden="false" customHeight="true" outlineLevel="0" collapsed="false">
      <c r="A27" s="49" t="n">
        <v>7</v>
      </c>
      <c r="B27" s="50" t="s">
        <v>160</v>
      </c>
      <c r="C27" s="49" t="s">
        <v>217</v>
      </c>
      <c r="D27" s="49"/>
      <c r="E27" s="49"/>
      <c r="F27" s="49"/>
      <c r="G27" s="49"/>
      <c r="H27" s="49"/>
      <c r="I27" s="49" t="s">
        <v>218</v>
      </c>
      <c r="J27" s="49"/>
      <c r="K27" s="49"/>
      <c r="L27" s="49"/>
      <c r="M27" s="49"/>
      <c r="N27" s="49"/>
      <c r="O27" s="49"/>
      <c r="P27" s="49"/>
      <c r="Q27" s="49"/>
    </row>
    <row r="28" customFormat="false" ht="18" hidden="false" customHeight="true" outlineLevel="0" collapsed="false">
      <c r="A28" s="51" t="n">
        <v>8</v>
      </c>
      <c r="B28" s="52" t="s">
        <v>161</v>
      </c>
      <c r="C28" s="51" t="s">
        <v>219</v>
      </c>
      <c r="D28" s="51"/>
      <c r="E28" s="51"/>
      <c r="F28" s="51"/>
      <c r="G28" s="51"/>
      <c r="H28" s="51"/>
      <c r="I28" s="51" t="s">
        <v>220</v>
      </c>
      <c r="J28" s="51"/>
      <c r="K28" s="51"/>
      <c r="L28" s="51"/>
      <c r="M28" s="51"/>
      <c r="N28" s="51"/>
      <c r="O28" s="51"/>
      <c r="P28" s="51"/>
      <c r="Q28" s="51"/>
    </row>
    <row r="29" customFormat="false" ht="18" hidden="false" customHeight="true" outlineLevel="0" collapsed="false">
      <c r="A29" s="49" t="n">
        <v>9</v>
      </c>
      <c r="B29" s="50" t="s">
        <v>162</v>
      </c>
      <c r="C29" s="49" t="s">
        <v>221</v>
      </c>
      <c r="D29" s="49"/>
      <c r="E29" s="49"/>
      <c r="F29" s="49"/>
      <c r="G29" s="49"/>
      <c r="H29" s="49"/>
      <c r="I29" s="49" t="s">
        <v>222</v>
      </c>
      <c r="J29" s="49"/>
      <c r="K29" s="49"/>
      <c r="L29" s="49"/>
      <c r="M29" s="49"/>
      <c r="N29" s="49"/>
      <c r="O29" s="49"/>
      <c r="P29" s="49"/>
      <c r="Q29" s="49"/>
    </row>
    <row r="30" customFormat="false" ht="18" hidden="false" customHeight="true" outlineLevel="0" collapsed="false">
      <c r="A30" s="51" t="n">
        <v>10</v>
      </c>
      <c r="B30" s="52" t="s">
        <v>163</v>
      </c>
      <c r="C30" s="51" t="s">
        <v>223</v>
      </c>
      <c r="D30" s="51"/>
      <c r="E30" s="51"/>
      <c r="F30" s="51"/>
      <c r="G30" s="51"/>
      <c r="H30" s="51"/>
      <c r="I30" s="51" t="s">
        <v>224</v>
      </c>
      <c r="J30" s="51"/>
      <c r="K30" s="51"/>
      <c r="L30" s="51"/>
      <c r="M30" s="51"/>
      <c r="N30" s="51"/>
      <c r="O30" s="51"/>
      <c r="P30" s="51"/>
      <c r="Q30" s="51"/>
    </row>
    <row r="31" customFormat="false" ht="18" hidden="false" customHeight="true" outlineLevel="0" collapsed="false">
      <c r="A31" s="49" t="n">
        <v>11</v>
      </c>
      <c r="B31" s="50" t="s">
        <v>164</v>
      </c>
      <c r="C31" s="49" t="s">
        <v>225</v>
      </c>
      <c r="D31" s="49"/>
      <c r="E31" s="49"/>
      <c r="F31" s="49"/>
      <c r="G31" s="49"/>
      <c r="H31" s="49"/>
      <c r="I31" s="49" t="s">
        <v>226</v>
      </c>
      <c r="J31" s="49"/>
      <c r="K31" s="49"/>
      <c r="L31" s="49"/>
      <c r="M31" s="49"/>
      <c r="N31" s="49"/>
      <c r="O31" s="49"/>
      <c r="P31" s="49"/>
      <c r="Q31" s="49"/>
    </row>
    <row r="32" customFormat="false" ht="18" hidden="false" customHeight="true" outlineLevel="0" collapsed="false">
      <c r="A32" s="51" t="n">
        <v>12</v>
      </c>
      <c r="B32" s="52" t="s">
        <v>165</v>
      </c>
      <c r="C32" s="51" t="s">
        <v>227</v>
      </c>
      <c r="D32" s="51"/>
      <c r="E32" s="51"/>
      <c r="F32" s="51"/>
      <c r="G32" s="51"/>
      <c r="H32" s="51"/>
      <c r="I32" s="51" t="s">
        <v>228</v>
      </c>
      <c r="J32" s="51"/>
      <c r="K32" s="51"/>
      <c r="L32" s="51"/>
      <c r="M32" s="51"/>
      <c r="N32" s="51"/>
      <c r="O32" s="51"/>
      <c r="P32" s="51"/>
      <c r="Q32" s="51"/>
    </row>
    <row r="33" customFormat="false" ht="18" hidden="false" customHeight="true" outlineLevel="0" collapsed="false">
      <c r="A33" s="49" t="n">
        <v>13</v>
      </c>
      <c r="B33" s="50" t="s">
        <v>166</v>
      </c>
      <c r="C33" s="49" t="s">
        <v>229</v>
      </c>
      <c r="D33" s="49"/>
      <c r="E33" s="49"/>
      <c r="F33" s="49"/>
      <c r="G33" s="49"/>
      <c r="H33" s="49"/>
      <c r="I33" s="49" t="s">
        <v>230</v>
      </c>
      <c r="J33" s="49"/>
      <c r="K33" s="49"/>
      <c r="L33" s="49"/>
      <c r="M33" s="49"/>
      <c r="N33" s="49"/>
      <c r="O33" s="49"/>
      <c r="P33" s="49"/>
      <c r="Q33" s="49"/>
    </row>
    <row r="34" customFormat="false" ht="18" hidden="false" customHeight="true" outlineLevel="0" collapsed="false">
      <c r="A34" s="51" t="n">
        <v>14</v>
      </c>
      <c r="B34" s="52" t="s">
        <v>167</v>
      </c>
      <c r="C34" s="51" t="s">
        <v>231</v>
      </c>
      <c r="D34" s="51"/>
      <c r="E34" s="51"/>
      <c r="F34" s="51"/>
      <c r="G34" s="51"/>
      <c r="H34" s="51"/>
      <c r="I34" s="51" t="s">
        <v>232</v>
      </c>
      <c r="J34" s="51"/>
      <c r="K34" s="51"/>
      <c r="L34" s="51"/>
      <c r="M34" s="51"/>
      <c r="N34" s="51"/>
      <c r="O34" s="51"/>
      <c r="P34" s="51"/>
      <c r="Q34" s="51"/>
    </row>
    <row r="35" customFormat="false" ht="18" hidden="false" customHeight="true" outlineLevel="0" collapsed="false">
      <c r="A35" s="49" t="n">
        <v>15</v>
      </c>
      <c r="B35" s="50" t="s">
        <v>168</v>
      </c>
      <c r="C35" s="49" t="s">
        <v>233</v>
      </c>
      <c r="D35" s="49"/>
      <c r="E35" s="49"/>
      <c r="F35" s="49"/>
      <c r="G35" s="49"/>
      <c r="H35" s="49"/>
      <c r="I35" s="49" t="s">
        <v>234</v>
      </c>
      <c r="J35" s="49"/>
      <c r="K35" s="49"/>
      <c r="L35" s="49"/>
      <c r="M35" s="49"/>
      <c r="N35" s="49"/>
      <c r="O35" s="49"/>
      <c r="P35" s="49"/>
      <c r="Q35" s="49"/>
    </row>
    <row r="36" customFormat="false" ht="18" hidden="false" customHeight="true" outlineLevel="0" collapsed="false">
      <c r="A36" s="51" t="n">
        <v>16</v>
      </c>
      <c r="B36" s="52" t="s">
        <v>169</v>
      </c>
      <c r="C36" s="51" t="s">
        <v>235</v>
      </c>
      <c r="D36" s="51"/>
      <c r="E36" s="51"/>
      <c r="F36" s="51"/>
      <c r="G36" s="51"/>
      <c r="H36" s="51"/>
      <c r="I36" s="51" t="s">
        <v>236</v>
      </c>
      <c r="J36" s="51"/>
      <c r="K36" s="51"/>
      <c r="L36" s="51"/>
      <c r="M36" s="51"/>
      <c r="N36" s="51"/>
      <c r="O36" s="51"/>
      <c r="P36" s="51"/>
      <c r="Q36" s="51"/>
    </row>
    <row r="37" customFormat="false" ht="18" hidden="false" customHeight="true" outlineLevel="0" collapsed="false">
      <c r="A37" s="49" t="n">
        <v>17</v>
      </c>
      <c r="B37" s="50" t="s">
        <v>170</v>
      </c>
      <c r="C37" s="49" t="s">
        <v>237</v>
      </c>
      <c r="D37" s="49"/>
      <c r="E37" s="49"/>
      <c r="F37" s="49"/>
      <c r="G37" s="49"/>
      <c r="H37" s="49"/>
      <c r="I37" s="49" t="s">
        <v>238</v>
      </c>
      <c r="J37" s="49"/>
      <c r="K37" s="49"/>
      <c r="L37" s="49"/>
      <c r="M37" s="49"/>
      <c r="N37" s="49"/>
      <c r="O37" s="49"/>
      <c r="P37" s="49"/>
      <c r="Q37" s="49"/>
    </row>
    <row r="38" customFormat="false" ht="18" hidden="false" customHeight="true" outlineLevel="0" collapsed="false">
      <c r="A38" s="51" t="n">
        <v>18</v>
      </c>
      <c r="B38" s="52" t="s">
        <v>171</v>
      </c>
      <c r="C38" s="51" t="s">
        <v>239</v>
      </c>
      <c r="D38" s="51"/>
      <c r="E38" s="51"/>
      <c r="F38" s="51"/>
      <c r="G38" s="51"/>
      <c r="H38" s="51"/>
      <c r="I38" s="51" t="s">
        <v>240</v>
      </c>
      <c r="J38" s="51"/>
      <c r="K38" s="51"/>
      <c r="L38" s="51"/>
      <c r="M38" s="51"/>
      <c r="N38" s="51"/>
      <c r="O38" s="51"/>
      <c r="P38" s="51"/>
      <c r="Q38" s="51"/>
    </row>
    <row r="39" customFormat="false" ht="18" hidden="false" customHeight="true" outlineLevel="0" collapsed="false">
      <c r="A39" s="49" t="n">
        <v>19</v>
      </c>
      <c r="B39" s="50" t="s">
        <v>172</v>
      </c>
      <c r="C39" s="49" t="s">
        <v>241</v>
      </c>
      <c r="D39" s="49"/>
      <c r="E39" s="49"/>
      <c r="F39" s="49"/>
      <c r="G39" s="49"/>
      <c r="H39" s="49"/>
      <c r="I39" s="49" t="s">
        <v>242</v>
      </c>
      <c r="J39" s="49"/>
      <c r="K39" s="49"/>
      <c r="L39" s="49"/>
      <c r="M39" s="49"/>
      <c r="N39" s="49"/>
      <c r="O39" s="49"/>
      <c r="P39" s="49"/>
      <c r="Q39" s="49"/>
    </row>
    <row r="40" customFormat="false" ht="18" hidden="false" customHeight="true" outlineLevel="0" collapsed="false">
      <c r="A40" s="51" t="n">
        <v>20</v>
      </c>
      <c r="B40" s="52" t="s">
        <v>173</v>
      </c>
      <c r="C40" s="51" t="s">
        <v>243</v>
      </c>
      <c r="D40" s="51"/>
      <c r="E40" s="51"/>
      <c r="F40" s="51"/>
      <c r="G40" s="51"/>
      <c r="H40" s="51"/>
      <c r="I40" s="51" t="s">
        <v>244</v>
      </c>
      <c r="J40" s="51"/>
      <c r="K40" s="51"/>
      <c r="L40" s="51"/>
      <c r="M40" s="51"/>
      <c r="N40" s="51"/>
      <c r="O40" s="51"/>
      <c r="P40" s="51"/>
      <c r="Q40" s="51"/>
    </row>
  </sheetData>
  <mergeCells count="42">
    <mergeCell ref="C20:H20"/>
    <mergeCell ref="I20:Q20"/>
    <mergeCell ref="C21:H21"/>
    <mergeCell ref="I21:Q21"/>
    <mergeCell ref="C22:H22"/>
    <mergeCell ref="I22:Q22"/>
    <mergeCell ref="C23:H23"/>
    <mergeCell ref="I23:Q23"/>
    <mergeCell ref="C24:H24"/>
    <mergeCell ref="I24:Q24"/>
    <mergeCell ref="C25:H25"/>
    <mergeCell ref="I25:Q25"/>
    <mergeCell ref="C26:H26"/>
    <mergeCell ref="I26:Q26"/>
    <mergeCell ref="C27:H27"/>
    <mergeCell ref="I27:Q27"/>
    <mergeCell ref="C28:H28"/>
    <mergeCell ref="I28:Q28"/>
    <mergeCell ref="C29:H29"/>
    <mergeCell ref="I29:Q29"/>
    <mergeCell ref="C30:H30"/>
    <mergeCell ref="I30:Q30"/>
    <mergeCell ref="C31:H31"/>
    <mergeCell ref="I31:Q31"/>
    <mergeCell ref="C32:H32"/>
    <mergeCell ref="I32:Q32"/>
    <mergeCell ref="C33:H33"/>
    <mergeCell ref="I33:Q33"/>
    <mergeCell ref="C34:H34"/>
    <mergeCell ref="I34:Q34"/>
    <mergeCell ref="C35:H35"/>
    <mergeCell ref="I35:Q35"/>
    <mergeCell ref="C36:H36"/>
    <mergeCell ref="I36:Q36"/>
    <mergeCell ref="C37:H37"/>
    <mergeCell ref="I37:Q37"/>
    <mergeCell ref="C38:H38"/>
    <mergeCell ref="I38:Q38"/>
    <mergeCell ref="C39:H39"/>
    <mergeCell ref="I39:Q39"/>
    <mergeCell ref="C40:H40"/>
    <mergeCell ref="I40:Q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A1:Y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25" min="3" style="0" width="16"/>
  </cols>
  <sheetData>
    <row r="1" customFormat="false" ht="24" hidden="false" customHeight="true" outlineLevel="0" collapsed="false">
      <c r="A1" s="13" t="s">
        <v>245</v>
      </c>
    </row>
    <row r="2" customFormat="false" ht="15" hidden="false" customHeight="false" outlineLevel="0" collapsed="false">
      <c r="A2" s="14" t="s">
        <v>246</v>
      </c>
    </row>
    <row r="3" customFormat="false" ht="15" hidden="false" customHeight="false" outlineLevel="0" collapsed="false">
      <c r="A3" s="15" t="s">
        <v>247</v>
      </c>
    </row>
    <row r="4" customFormat="false" ht="15" hidden="false" customHeight="false" outlineLevel="0" collapsed="false">
      <c r="A4" s="12" t="s">
        <v>39</v>
      </c>
    </row>
    <row r="6" customFormat="false" ht="30" hidden="false" customHeight="true" outlineLevel="0" collapsed="false">
      <c r="A6" s="5" t="s">
        <v>149</v>
      </c>
      <c r="B6" s="5" t="s">
        <v>248</v>
      </c>
      <c r="C6" s="5" t="s">
        <v>80</v>
      </c>
      <c r="D6" s="5" t="s">
        <v>150</v>
      </c>
      <c r="E6" s="5" t="s">
        <v>152</v>
      </c>
      <c r="F6" s="21" t="s">
        <v>249</v>
      </c>
      <c r="G6" s="21" t="s">
        <v>164</v>
      </c>
      <c r="H6" s="21" t="s">
        <v>250</v>
      </c>
      <c r="I6" s="21" t="s">
        <v>251</v>
      </c>
      <c r="J6" s="21" t="s">
        <v>252</v>
      </c>
      <c r="K6" s="21" t="s">
        <v>253</v>
      </c>
      <c r="L6" s="21" t="s">
        <v>254</v>
      </c>
      <c r="M6" s="21" t="s">
        <v>255</v>
      </c>
      <c r="N6" s="21" t="s">
        <v>256</v>
      </c>
      <c r="O6" s="21" t="s">
        <v>257</v>
      </c>
      <c r="P6" s="21" t="s">
        <v>258</v>
      </c>
      <c r="Q6" s="21" t="s">
        <v>259</v>
      </c>
      <c r="R6" s="21" t="s">
        <v>260</v>
      </c>
      <c r="S6" s="21" t="s">
        <v>261</v>
      </c>
      <c r="T6" s="21" t="s">
        <v>262</v>
      </c>
      <c r="U6" s="21" t="s">
        <v>263</v>
      </c>
      <c r="V6" s="21" t="s">
        <v>264</v>
      </c>
      <c r="W6" s="21" t="s">
        <v>265</v>
      </c>
      <c r="X6" s="21" t="s">
        <v>266</v>
      </c>
      <c r="Y6" s="21" t="s">
        <v>267</v>
      </c>
    </row>
    <row r="7" customFormat="false" ht="15" hidden="false" customHeight="false" outlineLevel="0" collapsed="false">
      <c r="A7" s="6" t="s">
        <v>268</v>
      </c>
      <c r="B7" s="22" t="n">
        <v>8500</v>
      </c>
      <c r="C7" s="6" t="n">
        <v>12</v>
      </c>
      <c r="D7" s="46" t="n">
        <v>0.1</v>
      </c>
      <c r="E7" s="6" t="n">
        <v>0</v>
      </c>
      <c r="F7" s="6" t="str">
        <f aca="false">IF(B7&gt;=15000,"Very High",IF(B7&gt;=10000,"High","Low"))</f>
        <v>Low</v>
      </c>
      <c r="G7" s="6" t="str">
        <f aca="false">IF(B7&gt;=15000,"A",IF(B7&gt;=10000,"B",IF(B7&gt;=5000,"C","D")))</f>
        <v>C</v>
      </c>
      <c r="H7" s="6" t="str">
        <f aca="false">IF(B7&gt;=18000,"Excellent",IF(B7&gt;=15000,"Very Good",IF(B7&gt;=10000,"Good",IF(B7&gt;=5000,"Average","Poor"))))</f>
        <v>Average</v>
      </c>
      <c r="I7" s="6" t="str">
        <f aca="false">IF(C7&gt;=20,"Bulk",IF(C7&gt;=15,"Large",IF(C7&gt;=10,"Medium","Small")))</f>
        <v>Medium</v>
      </c>
      <c r="J7" s="6" t="str">
        <f aca="false">IF(D7&gt;=15%,"Very High Discount",IF(D7&gt;=10%,"High Discount",IF(D7&gt;=5%,"Medium Discount","Low Discount")))</f>
        <v>High Discount</v>
      </c>
      <c r="K7" s="6" t="str">
        <f aca="false">IF(E7&gt;=3,"Critical",IF(E7=2,"High",IF(E7=1,"Medium","Low")))</f>
        <v>Low</v>
      </c>
      <c r="L7" s="6" t="str">
        <f aca="false">IF(B7&gt;=15000,"Premium",IF(B7&gt;=10000,"Gold",IF(B7&gt;=5000,"Silver","Bronze")))</f>
        <v>Silver</v>
      </c>
      <c r="M7" s="6" t="str">
        <f aca="false">IF(B7&gt;=15000,"Excellent",IF(B7&gt;=10000,"Good",IF(B7&gt;=7000,"Average","Needs Improvement")))</f>
        <v>Average</v>
      </c>
      <c r="N7" s="46" t="n">
        <f aca="false">IF(B7&gt;=15000,15%,IF(B7&gt;=10000,10%,IF(B7&gt;=5000,5%,0%)))</f>
        <v>0.05</v>
      </c>
      <c r="O7" s="22" t="n">
        <f aca="false">IF(B7&gt;=15000,B7*15%,IF(B7&gt;=10000,B7*10%,IF(B7&gt;=5000,B7*5%,0)))</f>
        <v>425</v>
      </c>
      <c r="P7" s="6" t="str">
        <f aca="false">IF(C7&gt;=20,"Very Large Buyer",IF(C7&gt;=15,"Large Buyer",IF(C7&gt;=10,"Medium Buyer","Small Buyer")))</f>
        <v>Medium Buyer</v>
      </c>
      <c r="Q7" s="6" t="str">
        <f aca="false">IF(B7&gt;=15000,"Priority 1",IF(B7&gt;=10000,"Priority 2",IF(B7&gt;=5000,"Priority 3","Priority 4")))</f>
        <v>Priority 3</v>
      </c>
      <c r="R7" s="6" t="str">
        <f aca="false">IF(D7&gt;=15%,"Review Discount",IF(D7&gt;=10%,"Monitor",IF(D7&gt;=5%,"Acceptable","Low Discount")))</f>
        <v>Monitor</v>
      </c>
      <c r="S7" s="6" t="str">
        <f aca="false">IF(E7&gt;=3,"Immediate Action",IF(E7=2,"Investigate",IF(E7=1,"Monitor","No Action")))</f>
        <v>No Action</v>
      </c>
      <c r="T7" s="6" t="str">
        <f aca="false">IF(AND(B7&gt;=15000,C7&gt;=20),"Top Performer",IF(AND(B7&gt;=10000,C7&gt;=15),"Strong Performer","Regular Performer"))</f>
        <v>Regular Performer</v>
      </c>
      <c r="U7" s="6" t="str">
        <f aca="false">IF(OR(B7&gt;=15000,C7&gt;=20),"VIP Eligible",IF(OR(B7&gt;=10000,C7&gt;=15),"Eligible","Not Eligible"))</f>
        <v>Not Eligible</v>
      </c>
      <c r="V7" s="6" t="str">
        <f aca="false">IF(E7&gt;=3,"Critical Risk",IF(AND(E7&gt;=2,B7&lt;8000),"High Risk",IF(E7=1,"Medium Risk","Low Risk")))</f>
        <v>Low Risk</v>
      </c>
      <c r="W7" s="6" t="str">
        <f aca="false">IF(B7&gt;=15000,"Reward",IF(B7&gt;=10000,"Appreciate",IF(B7&gt;=5000,"Coach","Train")))</f>
        <v>Coach</v>
      </c>
      <c r="X7" s="6" t="str">
        <f aca="false">IF(AND(B7&gt;=15000,E7=0),"Excellent Customer",IF(AND(B7&gt;=10000,E7&lt;=1),"Good Customer",IF(B7&gt;=5000,"Regular Customer","Low Value Customer")))</f>
        <v>Regular Customer</v>
      </c>
      <c r="Y7" s="6" t="str">
        <f aca="false">IF(AND(B7&gt;=15000,C7&gt;=20,E7=0),"VIP + Reward",IF(AND(B7&gt;=10000,C7&gt;=15),"Priority Customer",IF(OR(B7&gt;=5000,C7&gt;=10),"Normal Customer","Needs Attention")))</f>
        <v>Normal Customer</v>
      </c>
    </row>
    <row r="8" customFormat="false" ht="15" hidden="false" customHeight="false" outlineLevel="0" collapsed="false">
      <c r="A8" s="8" t="s">
        <v>269</v>
      </c>
      <c r="B8" s="24" t="n">
        <v>4200</v>
      </c>
      <c r="C8" s="8" t="n">
        <v>5</v>
      </c>
      <c r="D8" s="47" t="n">
        <v>0.05</v>
      </c>
      <c r="E8" s="8" t="n">
        <v>1</v>
      </c>
      <c r="F8" s="8" t="str">
        <f aca="false">IF(B8&gt;=15000,"Very High",IF(B8&gt;=10000,"High","Low"))</f>
        <v>Low</v>
      </c>
      <c r="G8" s="8" t="str">
        <f aca="false">IF(B8&gt;=15000,"A",IF(B8&gt;=10000,"B",IF(B8&gt;=5000,"C","D")))</f>
        <v>D</v>
      </c>
      <c r="H8" s="8" t="str">
        <f aca="false">IF(B8&gt;=18000,"Excellent",IF(B8&gt;=15000,"Very Good",IF(B8&gt;=10000,"Good",IF(B8&gt;=5000,"Average","Poor"))))</f>
        <v>Poor</v>
      </c>
      <c r="I8" s="8" t="str">
        <f aca="false">IF(C8&gt;=20,"Bulk",IF(C8&gt;=15,"Large",IF(C8&gt;=10,"Medium","Small")))</f>
        <v>Small</v>
      </c>
      <c r="J8" s="8" t="str">
        <f aca="false">IF(D8&gt;=15%,"Very High Discount",IF(D8&gt;=10%,"High Discount",IF(D8&gt;=5%,"Medium Discount","Low Discount")))</f>
        <v>Medium Discount</v>
      </c>
      <c r="K8" s="8" t="str">
        <f aca="false">IF(E8&gt;=3,"Critical",IF(E8=2,"High",IF(E8=1,"Medium","Low")))</f>
        <v>Medium</v>
      </c>
      <c r="L8" s="8" t="str">
        <f aca="false">IF(B8&gt;=15000,"Premium",IF(B8&gt;=10000,"Gold",IF(B8&gt;=5000,"Silver","Bronze")))</f>
        <v>Bronze</v>
      </c>
      <c r="M8" s="8" t="str">
        <f aca="false">IF(B8&gt;=15000,"Excellent",IF(B8&gt;=10000,"Good",IF(B8&gt;=7000,"Average","Needs Improvement")))</f>
        <v>Needs Improvement</v>
      </c>
      <c r="N8" s="47" t="n">
        <f aca="false">IF(B8&gt;=15000,15%,IF(B8&gt;=10000,10%,IF(B8&gt;=5000,5%,0%)))</f>
        <v>0</v>
      </c>
      <c r="O8" s="24" t="n">
        <f aca="false">IF(B8&gt;=15000,B8*15%,IF(B8&gt;=10000,B8*10%,IF(B8&gt;=5000,B8*5%,0)))</f>
        <v>0</v>
      </c>
      <c r="P8" s="8" t="str">
        <f aca="false">IF(C8&gt;=20,"Very Large Buyer",IF(C8&gt;=15,"Large Buyer",IF(C8&gt;=10,"Medium Buyer","Small Buyer")))</f>
        <v>Small Buyer</v>
      </c>
      <c r="Q8" s="8" t="str">
        <f aca="false">IF(B8&gt;=15000,"Priority 1",IF(B8&gt;=10000,"Priority 2",IF(B8&gt;=5000,"Priority 3","Priority 4")))</f>
        <v>Priority 4</v>
      </c>
      <c r="R8" s="8" t="str">
        <f aca="false">IF(D8&gt;=15%,"Review Discount",IF(D8&gt;=10%,"Monitor",IF(D8&gt;=5%,"Acceptable","Low Discount")))</f>
        <v>Acceptable</v>
      </c>
      <c r="S8" s="8" t="str">
        <f aca="false">IF(E8&gt;=3,"Immediate Action",IF(E8=2,"Investigate",IF(E8=1,"Monitor","No Action")))</f>
        <v>Monitor</v>
      </c>
      <c r="T8" s="8" t="str">
        <f aca="false">IF(AND(B8&gt;=15000,C8&gt;=20),"Top Performer",IF(AND(B8&gt;=10000,C8&gt;=15),"Strong Performer","Regular Performer"))</f>
        <v>Regular Performer</v>
      </c>
      <c r="U8" s="8" t="str">
        <f aca="false">IF(OR(B8&gt;=15000,C8&gt;=20),"VIP Eligible",IF(OR(B8&gt;=10000,C8&gt;=15),"Eligible","Not Eligible"))</f>
        <v>Not Eligible</v>
      </c>
      <c r="V8" s="8" t="str">
        <f aca="false">IF(E8&gt;=3,"Critical Risk",IF(AND(E8&gt;=2,B8&lt;8000),"High Risk",IF(E8=1,"Medium Risk","Low Risk")))</f>
        <v>Medium Risk</v>
      </c>
      <c r="W8" s="8" t="str">
        <f aca="false">IF(B8&gt;=15000,"Reward",IF(B8&gt;=10000,"Appreciate",IF(B8&gt;=5000,"Coach","Train")))</f>
        <v>Train</v>
      </c>
      <c r="X8" s="8" t="str">
        <f aca="false">IF(AND(B8&gt;=15000,E8=0),"Excellent Customer",IF(AND(B8&gt;=10000,E8&lt;=1),"Good Customer",IF(B8&gt;=5000,"Regular Customer","Low Value Customer")))</f>
        <v>Low Value Customer</v>
      </c>
      <c r="Y8" s="8" t="str">
        <f aca="false">IF(AND(B8&gt;=15000,C8&gt;=20,E8=0),"VIP + Reward",IF(AND(B8&gt;=10000,C8&gt;=15),"Priority Customer",IF(OR(B8&gt;=5000,C8&gt;=10),"Normal Customer","Needs Attention")))</f>
        <v>Needs Attention</v>
      </c>
    </row>
    <row r="9" customFormat="false" ht="15" hidden="false" customHeight="false" outlineLevel="0" collapsed="false">
      <c r="A9" s="6" t="s">
        <v>270</v>
      </c>
      <c r="B9" s="22" t="n">
        <v>15000</v>
      </c>
      <c r="C9" s="6" t="n">
        <v>20</v>
      </c>
      <c r="D9" s="46" t="n">
        <v>0.15</v>
      </c>
      <c r="E9" s="6" t="n">
        <v>0</v>
      </c>
      <c r="F9" s="6" t="str">
        <f aca="false">IF(B9&gt;=15000,"Very High",IF(B9&gt;=10000,"High","Low"))</f>
        <v>Very High</v>
      </c>
      <c r="G9" s="6" t="str">
        <f aca="false">IF(B9&gt;=15000,"A",IF(B9&gt;=10000,"B",IF(B9&gt;=5000,"C","D")))</f>
        <v>A</v>
      </c>
      <c r="H9" s="6" t="str">
        <f aca="false">IF(B9&gt;=18000,"Excellent",IF(B9&gt;=15000,"Very Good",IF(B9&gt;=10000,"Good",IF(B9&gt;=5000,"Average","Poor"))))</f>
        <v>Very Good</v>
      </c>
      <c r="I9" s="6" t="str">
        <f aca="false">IF(C9&gt;=20,"Bulk",IF(C9&gt;=15,"Large",IF(C9&gt;=10,"Medium","Small")))</f>
        <v>Bulk</v>
      </c>
      <c r="J9" s="6" t="str">
        <f aca="false">IF(D9&gt;=15%,"Very High Discount",IF(D9&gt;=10%,"High Discount",IF(D9&gt;=5%,"Medium Discount","Low Discount")))</f>
        <v>Very High Discount</v>
      </c>
      <c r="K9" s="6" t="str">
        <f aca="false">IF(E9&gt;=3,"Critical",IF(E9=2,"High",IF(E9=1,"Medium","Low")))</f>
        <v>Low</v>
      </c>
      <c r="L9" s="6" t="str">
        <f aca="false">IF(B9&gt;=15000,"Premium",IF(B9&gt;=10000,"Gold",IF(B9&gt;=5000,"Silver","Bronze")))</f>
        <v>Premium</v>
      </c>
      <c r="M9" s="6" t="str">
        <f aca="false">IF(B9&gt;=15000,"Excellent",IF(B9&gt;=10000,"Good",IF(B9&gt;=7000,"Average","Needs Improvement")))</f>
        <v>Excellent</v>
      </c>
      <c r="N9" s="46" t="n">
        <f aca="false">IF(B9&gt;=15000,15%,IF(B9&gt;=10000,10%,IF(B9&gt;=5000,5%,0%)))</f>
        <v>0.15</v>
      </c>
      <c r="O9" s="22" t="n">
        <f aca="false">IF(B9&gt;=15000,B9*15%,IF(B9&gt;=10000,B9*10%,IF(B9&gt;=5000,B9*5%,0)))</f>
        <v>2250</v>
      </c>
      <c r="P9" s="6" t="str">
        <f aca="false">IF(C9&gt;=20,"Very Large Buyer",IF(C9&gt;=15,"Large Buyer",IF(C9&gt;=10,"Medium Buyer","Small Buyer")))</f>
        <v>Very Large Buyer</v>
      </c>
      <c r="Q9" s="6" t="str">
        <f aca="false">IF(B9&gt;=15000,"Priority 1",IF(B9&gt;=10000,"Priority 2",IF(B9&gt;=5000,"Priority 3","Priority 4")))</f>
        <v>Priority 1</v>
      </c>
      <c r="R9" s="6" t="str">
        <f aca="false">IF(D9&gt;=15%,"Review Discount",IF(D9&gt;=10%,"Monitor",IF(D9&gt;=5%,"Acceptable","Low Discount")))</f>
        <v>Review Discount</v>
      </c>
      <c r="S9" s="6" t="str">
        <f aca="false">IF(E9&gt;=3,"Immediate Action",IF(E9=2,"Investigate",IF(E9=1,"Monitor","No Action")))</f>
        <v>No Action</v>
      </c>
      <c r="T9" s="6" t="str">
        <f aca="false">IF(AND(B9&gt;=15000,C9&gt;=20),"Top Performer",IF(AND(B9&gt;=10000,C9&gt;=15),"Strong Performer","Regular Performer"))</f>
        <v>Top Performer</v>
      </c>
      <c r="U9" s="6" t="str">
        <f aca="false">IF(OR(B9&gt;=15000,C9&gt;=20),"VIP Eligible",IF(OR(B9&gt;=10000,C9&gt;=15),"Eligible","Not Eligible"))</f>
        <v>VIP Eligible</v>
      </c>
      <c r="V9" s="6" t="str">
        <f aca="false">IF(E9&gt;=3,"Critical Risk",IF(AND(E9&gt;=2,B9&lt;8000),"High Risk",IF(E9=1,"Medium Risk","Low Risk")))</f>
        <v>Low Risk</v>
      </c>
      <c r="W9" s="6" t="str">
        <f aca="false">IF(B9&gt;=15000,"Reward",IF(B9&gt;=10000,"Appreciate",IF(B9&gt;=5000,"Coach","Train")))</f>
        <v>Reward</v>
      </c>
      <c r="X9" s="6" t="str">
        <f aca="false">IF(AND(B9&gt;=15000,E9=0),"Excellent Customer",IF(AND(B9&gt;=10000,E9&lt;=1),"Good Customer",IF(B9&gt;=5000,"Regular Customer","Low Value Customer")))</f>
        <v>Excellent Customer</v>
      </c>
      <c r="Y9" s="6" t="str">
        <f aca="false">IF(AND(B9&gt;=15000,C9&gt;=20,E9=0),"VIP + Reward",IF(AND(B9&gt;=10000,C9&gt;=15),"Priority Customer",IF(OR(B9&gt;=5000,C9&gt;=10),"Normal Customer","Needs Attention")))</f>
        <v>VIP + Reward</v>
      </c>
    </row>
    <row r="10" customFormat="false" ht="15" hidden="false" customHeight="false" outlineLevel="0" collapsed="false">
      <c r="A10" s="8" t="s">
        <v>271</v>
      </c>
      <c r="B10" s="24" t="n">
        <v>3000</v>
      </c>
      <c r="C10" s="8" t="n">
        <v>4</v>
      </c>
      <c r="D10" s="47" t="n">
        <v>0.02</v>
      </c>
      <c r="E10" s="8" t="n">
        <v>2</v>
      </c>
      <c r="F10" s="8" t="str">
        <f aca="false">IF(B10&gt;=15000,"Very High",IF(B10&gt;=10000,"High","Low"))</f>
        <v>Low</v>
      </c>
      <c r="G10" s="8" t="str">
        <f aca="false">IF(B10&gt;=15000,"A",IF(B10&gt;=10000,"B",IF(B10&gt;=5000,"C","D")))</f>
        <v>D</v>
      </c>
      <c r="H10" s="8" t="str">
        <f aca="false">IF(B10&gt;=18000,"Excellent",IF(B10&gt;=15000,"Very Good",IF(B10&gt;=10000,"Good",IF(B10&gt;=5000,"Average","Poor"))))</f>
        <v>Poor</v>
      </c>
      <c r="I10" s="8" t="str">
        <f aca="false">IF(C10&gt;=20,"Bulk",IF(C10&gt;=15,"Large",IF(C10&gt;=10,"Medium","Small")))</f>
        <v>Small</v>
      </c>
      <c r="J10" s="8" t="str">
        <f aca="false">IF(D10&gt;=15%,"Very High Discount",IF(D10&gt;=10%,"High Discount",IF(D10&gt;=5%,"Medium Discount","Low Discount")))</f>
        <v>Low Discount</v>
      </c>
      <c r="K10" s="8" t="str">
        <f aca="false">IF(E10&gt;=3,"Critical",IF(E10=2,"High",IF(E10=1,"Medium","Low")))</f>
        <v>High</v>
      </c>
      <c r="L10" s="8" t="str">
        <f aca="false">IF(B10&gt;=15000,"Premium",IF(B10&gt;=10000,"Gold",IF(B10&gt;=5000,"Silver","Bronze")))</f>
        <v>Bronze</v>
      </c>
      <c r="M10" s="8" t="str">
        <f aca="false">IF(B10&gt;=15000,"Excellent",IF(B10&gt;=10000,"Good",IF(B10&gt;=7000,"Average","Needs Improvement")))</f>
        <v>Needs Improvement</v>
      </c>
      <c r="N10" s="47" t="n">
        <f aca="false">IF(B10&gt;=15000,15%,IF(B10&gt;=10000,10%,IF(B10&gt;=5000,5%,0%)))</f>
        <v>0</v>
      </c>
      <c r="O10" s="24" t="n">
        <f aca="false">IF(B10&gt;=15000,B10*15%,IF(B10&gt;=10000,B10*10%,IF(B10&gt;=5000,B10*5%,0)))</f>
        <v>0</v>
      </c>
      <c r="P10" s="8" t="str">
        <f aca="false">IF(C10&gt;=20,"Very Large Buyer",IF(C10&gt;=15,"Large Buyer",IF(C10&gt;=10,"Medium Buyer","Small Buyer")))</f>
        <v>Small Buyer</v>
      </c>
      <c r="Q10" s="8" t="str">
        <f aca="false">IF(B10&gt;=15000,"Priority 1",IF(B10&gt;=10000,"Priority 2",IF(B10&gt;=5000,"Priority 3","Priority 4")))</f>
        <v>Priority 4</v>
      </c>
      <c r="R10" s="8" t="str">
        <f aca="false">IF(D10&gt;=15%,"Review Discount",IF(D10&gt;=10%,"Monitor",IF(D10&gt;=5%,"Acceptable","Low Discount")))</f>
        <v>Low Discount</v>
      </c>
      <c r="S10" s="8" t="str">
        <f aca="false">IF(E10&gt;=3,"Immediate Action",IF(E10=2,"Investigate",IF(E10=1,"Monitor","No Action")))</f>
        <v>Investigate</v>
      </c>
      <c r="T10" s="8" t="str">
        <f aca="false">IF(AND(B10&gt;=15000,C10&gt;=20),"Top Performer",IF(AND(B10&gt;=10000,C10&gt;=15),"Strong Performer","Regular Performer"))</f>
        <v>Regular Performer</v>
      </c>
      <c r="U10" s="8" t="str">
        <f aca="false">IF(OR(B10&gt;=15000,C10&gt;=20),"VIP Eligible",IF(OR(B10&gt;=10000,C10&gt;=15),"Eligible","Not Eligible"))</f>
        <v>Not Eligible</v>
      </c>
      <c r="V10" s="8" t="str">
        <f aca="false">IF(E10&gt;=3,"Critical Risk",IF(AND(E10&gt;=2,B10&lt;8000),"High Risk",IF(E10=1,"Medium Risk","Low Risk")))</f>
        <v>High Risk</v>
      </c>
      <c r="W10" s="8" t="str">
        <f aca="false">IF(B10&gt;=15000,"Reward",IF(B10&gt;=10000,"Appreciate",IF(B10&gt;=5000,"Coach","Train")))</f>
        <v>Train</v>
      </c>
      <c r="X10" s="8" t="str">
        <f aca="false">IF(AND(B10&gt;=15000,E10=0),"Excellent Customer",IF(AND(B10&gt;=10000,E10&lt;=1),"Good Customer",IF(B10&gt;=5000,"Regular Customer","Low Value Customer")))</f>
        <v>Low Value Customer</v>
      </c>
      <c r="Y10" s="8" t="str">
        <f aca="false">IF(AND(B10&gt;=15000,C10&gt;=20,E10=0),"VIP + Reward",IF(AND(B10&gt;=10000,C10&gt;=15),"Priority Customer",IF(OR(B10&gt;=5000,C10&gt;=10),"Normal Customer","Needs Attention")))</f>
        <v>Needs Attention</v>
      </c>
    </row>
    <row r="11" customFormat="false" ht="15" hidden="false" customHeight="false" outlineLevel="0" collapsed="false">
      <c r="A11" s="6" t="s">
        <v>272</v>
      </c>
      <c r="B11" s="22" t="n">
        <v>9500</v>
      </c>
      <c r="C11" s="6" t="n">
        <v>14</v>
      </c>
      <c r="D11" s="46" t="n">
        <v>0.08</v>
      </c>
      <c r="E11" s="6" t="n">
        <v>0</v>
      </c>
      <c r="F11" s="6" t="str">
        <f aca="false">IF(B11&gt;=15000,"Very High",IF(B11&gt;=10000,"High","Low"))</f>
        <v>Low</v>
      </c>
      <c r="G11" s="6" t="str">
        <f aca="false">IF(B11&gt;=15000,"A",IF(B11&gt;=10000,"B",IF(B11&gt;=5000,"C","D")))</f>
        <v>C</v>
      </c>
      <c r="H11" s="6" t="str">
        <f aca="false">IF(B11&gt;=18000,"Excellent",IF(B11&gt;=15000,"Very Good",IF(B11&gt;=10000,"Good",IF(B11&gt;=5000,"Average","Poor"))))</f>
        <v>Average</v>
      </c>
      <c r="I11" s="6" t="str">
        <f aca="false">IF(C11&gt;=20,"Bulk",IF(C11&gt;=15,"Large",IF(C11&gt;=10,"Medium","Small")))</f>
        <v>Medium</v>
      </c>
      <c r="J11" s="6" t="str">
        <f aca="false">IF(D11&gt;=15%,"Very High Discount",IF(D11&gt;=10%,"High Discount",IF(D11&gt;=5%,"Medium Discount","Low Discount")))</f>
        <v>Medium Discount</v>
      </c>
      <c r="K11" s="6" t="str">
        <f aca="false">IF(E11&gt;=3,"Critical",IF(E11=2,"High",IF(E11=1,"Medium","Low")))</f>
        <v>Low</v>
      </c>
      <c r="L11" s="6" t="str">
        <f aca="false">IF(B11&gt;=15000,"Premium",IF(B11&gt;=10000,"Gold",IF(B11&gt;=5000,"Silver","Bronze")))</f>
        <v>Silver</v>
      </c>
      <c r="M11" s="6" t="str">
        <f aca="false">IF(B11&gt;=15000,"Excellent",IF(B11&gt;=10000,"Good",IF(B11&gt;=7000,"Average","Needs Improvement")))</f>
        <v>Average</v>
      </c>
      <c r="N11" s="46" t="n">
        <f aca="false">IF(B11&gt;=15000,15%,IF(B11&gt;=10000,10%,IF(B11&gt;=5000,5%,0%)))</f>
        <v>0.05</v>
      </c>
      <c r="O11" s="22" t="n">
        <f aca="false">IF(B11&gt;=15000,B11*15%,IF(B11&gt;=10000,B11*10%,IF(B11&gt;=5000,B11*5%,0)))</f>
        <v>475</v>
      </c>
      <c r="P11" s="6" t="str">
        <f aca="false">IF(C11&gt;=20,"Very Large Buyer",IF(C11&gt;=15,"Large Buyer",IF(C11&gt;=10,"Medium Buyer","Small Buyer")))</f>
        <v>Medium Buyer</v>
      </c>
      <c r="Q11" s="6" t="str">
        <f aca="false">IF(B11&gt;=15000,"Priority 1",IF(B11&gt;=10000,"Priority 2",IF(B11&gt;=5000,"Priority 3","Priority 4")))</f>
        <v>Priority 3</v>
      </c>
      <c r="R11" s="6" t="str">
        <f aca="false">IF(D11&gt;=15%,"Review Discount",IF(D11&gt;=10%,"Monitor",IF(D11&gt;=5%,"Acceptable","Low Discount")))</f>
        <v>Acceptable</v>
      </c>
      <c r="S11" s="6" t="str">
        <f aca="false">IF(E11&gt;=3,"Immediate Action",IF(E11=2,"Investigate",IF(E11=1,"Monitor","No Action")))</f>
        <v>No Action</v>
      </c>
      <c r="T11" s="6" t="str">
        <f aca="false">IF(AND(B11&gt;=15000,C11&gt;=20),"Top Performer",IF(AND(B11&gt;=10000,C11&gt;=15),"Strong Performer","Regular Performer"))</f>
        <v>Regular Performer</v>
      </c>
      <c r="U11" s="6" t="str">
        <f aca="false">IF(OR(B11&gt;=15000,C11&gt;=20),"VIP Eligible",IF(OR(B11&gt;=10000,C11&gt;=15),"Eligible","Not Eligible"))</f>
        <v>Not Eligible</v>
      </c>
      <c r="V11" s="6" t="str">
        <f aca="false">IF(E11&gt;=3,"Critical Risk",IF(AND(E11&gt;=2,B11&lt;8000),"High Risk",IF(E11=1,"Medium Risk","Low Risk")))</f>
        <v>Low Risk</v>
      </c>
      <c r="W11" s="6" t="str">
        <f aca="false">IF(B11&gt;=15000,"Reward",IF(B11&gt;=10000,"Appreciate",IF(B11&gt;=5000,"Coach","Train")))</f>
        <v>Coach</v>
      </c>
      <c r="X11" s="6" t="str">
        <f aca="false">IF(AND(B11&gt;=15000,E11=0),"Excellent Customer",IF(AND(B11&gt;=10000,E11&lt;=1),"Good Customer",IF(B11&gt;=5000,"Regular Customer","Low Value Customer")))</f>
        <v>Regular Customer</v>
      </c>
      <c r="Y11" s="6" t="str">
        <f aca="false">IF(AND(B11&gt;=15000,C11&gt;=20,E11=0),"VIP + Reward",IF(AND(B11&gt;=10000,C11&gt;=15),"Priority Customer",IF(OR(B11&gt;=5000,C11&gt;=10),"Normal Customer","Needs Attention")))</f>
        <v>Normal Customer</v>
      </c>
    </row>
    <row r="12" customFormat="false" ht="15" hidden="false" customHeight="false" outlineLevel="0" collapsed="false">
      <c r="A12" s="8" t="s">
        <v>273</v>
      </c>
      <c r="B12" s="24" t="n">
        <v>2000</v>
      </c>
      <c r="C12" s="8" t="n">
        <v>3</v>
      </c>
      <c r="D12" s="47" t="n">
        <v>0</v>
      </c>
      <c r="E12" s="8" t="n">
        <v>1</v>
      </c>
      <c r="F12" s="8" t="str">
        <f aca="false">IF(B12&gt;=15000,"Very High",IF(B12&gt;=10000,"High","Low"))</f>
        <v>Low</v>
      </c>
      <c r="G12" s="8" t="str">
        <f aca="false">IF(B12&gt;=15000,"A",IF(B12&gt;=10000,"B",IF(B12&gt;=5000,"C","D")))</f>
        <v>D</v>
      </c>
      <c r="H12" s="8" t="str">
        <f aca="false">IF(B12&gt;=18000,"Excellent",IF(B12&gt;=15000,"Very Good",IF(B12&gt;=10000,"Good",IF(B12&gt;=5000,"Average","Poor"))))</f>
        <v>Poor</v>
      </c>
      <c r="I12" s="8" t="str">
        <f aca="false">IF(C12&gt;=20,"Bulk",IF(C12&gt;=15,"Large",IF(C12&gt;=10,"Medium","Small")))</f>
        <v>Small</v>
      </c>
      <c r="J12" s="8" t="str">
        <f aca="false">IF(D12&gt;=15%,"Very High Discount",IF(D12&gt;=10%,"High Discount",IF(D12&gt;=5%,"Medium Discount","Low Discount")))</f>
        <v>Low Discount</v>
      </c>
      <c r="K12" s="8" t="str">
        <f aca="false">IF(E12&gt;=3,"Critical",IF(E12=2,"High",IF(E12=1,"Medium","Low")))</f>
        <v>Medium</v>
      </c>
      <c r="L12" s="8" t="str">
        <f aca="false">IF(B12&gt;=15000,"Premium",IF(B12&gt;=10000,"Gold",IF(B12&gt;=5000,"Silver","Bronze")))</f>
        <v>Bronze</v>
      </c>
      <c r="M12" s="8" t="str">
        <f aca="false">IF(B12&gt;=15000,"Excellent",IF(B12&gt;=10000,"Good",IF(B12&gt;=7000,"Average","Needs Improvement")))</f>
        <v>Needs Improvement</v>
      </c>
      <c r="N12" s="47" t="n">
        <f aca="false">IF(B12&gt;=15000,15%,IF(B12&gt;=10000,10%,IF(B12&gt;=5000,5%,0%)))</f>
        <v>0</v>
      </c>
      <c r="O12" s="24" t="n">
        <f aca="false">IF(B12&gt;=15000,B12*15%,IF(B12&gt;=10000,B12*10%,IF(B12&gt;=5000,B12*5%,0)))</f>
        <v>0</v>
      </c>
      <c r="P12" s="8" t="str">
        <f aca="false">IF(C12&gt;=20,"Very Large Buyer",IF(C12&gt;=15,"Large Buyer",IF(C12&gt;=10,"Medium Buyer","Small Buyer")))</f>
        <v>Small Buyer</v>
      </c>
      <c r="Q12" s="8" t="str">
        <f aca="false">IF(B12&gt;=15000,"Priority 1",IF(B12&gt;=10000,"Priority 2",IF(B12&gt;=5000,"Priority 3","Priority 4")))</f>
        <v>Priority 4</v>
      </c>
      <c r="R12" s="8" t="str">
        <f aca="false">IF(D12&gt;=15%,"Review Discount",IF(D12&gt;=10%,"Monitor",IF(D12&gt;=5%,"Acceptable","Low Discount")))</f>
        <v>Low Discount</v>
      </c>
      <c r="S12" s="8" t="str">
        <f aca="false">IF(E12&gt;=3,"Immediate Action",IF(E12=2,"Investigate",IF(E12=1,"Monitor","No Action")))</f>
        <v>Monitor</v>
      </c>
      <c r="T12" s="8" t="str">
        <f aca="false">IF(AND(B12&gt;=15000,C12&gt;=20),"Top Performer",IF(AND(B12&gt;=10000,C12&gt;=15),"Strong Performer","Regular Performer"))</f>
        <v>Regular Performer</v>
      </c>
      <c r="U12" s="8" t="str">
        <f aca="false">IF(OR(B12&gt;=15000,C12&gt;=20),"VIP Eligible",IF(OR(B12&gt;=10000,C12&gt;=15),"Eligible","Not Eligible"))</f>
        <v>Not Eligible</v>
      </c>
      <c r="V12" s="8" t="str">
        <f aca="false">IF(E12&gt;=3,"Critical Risk",IF(AND(E12&gt;=2,B12&lt;8000),"High Risk",IF(E12=1,"Medium Risk","Low Risk")))</f>
        <v>Medium Risk</v>
      </c>
      <c r="W12" s="8" t="str">
        <f aca="false">IF(B12&gt;=15000,"Reward",IF(B12&gt;=10000,"Appreciate",IF(B12&gt;=5000,"Coach","Train")))</f>
        <v>Train</v>
      </c>
      <c r="X12" s="8" t="str">
        <f aca="false">IF(AND(B12&gt;=15000,E12=0),"Excellent Customer",IF(AND(B12&gt;=10000,E12&lt;=1),"Good Customer",IF(B12&gt;=5000,"Regular Customer","Low Value Customer")))</f>
        <v>Low Value Customer</v>
      </c>
      <c r="Y12" s="8" t="str">
        <f aca="false">IF(AND(B12&gt;=15000,C12&gt;=20,E12=0),"VIP + Reward",IF(AND(B12&gt;=10000,C12&gt;=15),"Priority Customer",IF(OR(B12&gt;=5000,C12&gt;=10),"Normal Customer","Needs Attention")))</f>
        <v>Needs Attention</v>
      </c>
    </row>
    <row r="13" customFormat="false" ht="15" hidden="false" customHeight="false" outlineLevel="0" collapsed="false">
      <c r="A13" s="6" t="s">
        <v>274</v>
      </c>
      <c r="B13" s="22" t="n">
        <v>18000</v>
      </c>
      <c r="C13" s="6" t="n">
        <v>25</v>
      </c>
      <c r="D13" s="46" t="n">
        <v>0.2</v>
      </c>
      <c r="E13" s="6" t="n">
        <v>0</v>
      </c>
      <c r="F13" s="6" t="str">
        <f aca="false">IF(B13&gt;=15000,"Very High",IF(B13&gt;=10000,"High","Low"))</f>
        <v>Very High</v>
      </c>
      <c r="G13" s="6" t="str">
        <f aca="false">IF(B13&gt;=15000,"A",IF(B13&gt;=10000,"B",IF(B13&gt;=5000,"C","D")))</f>
        <v>A</v>
      </c>
      <c r="H13" s="6" t="str">
        <f aca="false">IF(B13&gt;=18000,"Excellent",IF(B13&gt;=15000,"Very Good",IF(B13&gt;=10000,"Good",IF(B13&gt;=5000,"Average","Poor"))))</f>
        <v>Excellent</v>
      </c>
      <c r="I13" s="6" t="str">
        <f aca="false">IF(C13&gt;=20,"Bulk",IF(C13&gt;=15,"Large",IF(C13&gt;=10,"Medium","Small")))</f>
        <v>Bulk</v>
      </c>
      <c r="J13" s="6" t="str">
        <f aca="false">IF(D13&gt;=15%,"Very High Discount",IF(D13&gt;=10%,"High Discount",IF(D13&gt;=5%,"Medium Discount","Low Discount")))</f>
        <v>Very High Discount</v>
      </c>
      <c r="K13" s="6" t="str">
        <f aca="false">IF(E13&gt;=3,"Critical",IF(E13=2,"High",IF(E13=1,"Medium","Low")))</f>
        <v>Low</v>
      </c>
      <c r="L13" s="6" t="str">
        <f aca="false">IF(B13&gt;=15000,"Premium",IF(B13&gt;=10000,"Gold",IF(B13&gt;=5000,"Silver","Bronze")))</f>
        <v>Premium</v>
      </c>
      <c r="M13" s="6" t="str">
        <f aca="false">IF(B13&gt;=15000,"Excellent",IF(B13&gt;=10000,"Good",IF(B13&gt;=7000,"Average","Needs Improvement")))</f>
        <v>Excellent</v>
      </c>
      <c r="N13" s="46" t="n">
        <f aca="false">IF(B13&gt;=15000,15%,IF(B13&gt;=10000,10%,IF(B13&gt;=5000,5%,0%)))</f>
        <v>0.15</v>
      </c>
      <c r="O13" s="22" t="n">
        <f aca="false">IF(B13&gt;=15000,B13*15%,IF(B13&gt;=10000,B13*10%,IF(B13&gt;=5000,B13*5%,0)))</f>
        <v>2700</v>
      </c>
      <c r="P13" s="6" t="str">
        <f aca="false">IF(C13&gt;=20,"Very Large Buyer",IF(C13&gt;=15,"Large Buyer",IF(C13&gt;=10,"Medium Buyer","Small Buyer")))</f>
        <v>Very Large Buyer</v>
      </c>
      <c r="Q13" s="6" t="str">
        <f aca="false">IF(B13&gt;=15000,"Priority 1",IF(B13&gt;=10000,"Priority 2",IF(B13&gt;=5000,"Priority 3","Priority 4")))</f>
        <v>Priority 1</v>
      </c>
      <c r="R13" s="6" t="str">
        <f aca="false">IF(D13&gt;=15%,"Review Discount",IF(D13&gt;=10%,"Monitor",IF(D13&gt;=5%,"Acceptable","Low Discount")))</f>
        <v>Review Discount</v>
      </c>
      <c r="S13" s="6" t="str">
        <f aca="false">IF(E13&gt;=3,"Immediate Action",IF(E13=2,"Investigate",IF(E13=1,"Monitor","No Action")))</f>
        <v>No Action</v>
      </c>
      <c r="T13" s="6" t="str">
        <f aca="false">IF(AND(B13&gt;=15000,C13&gt;=20),"Top Performer",IF(AND(B13&gt;=10000,C13&gt;=15),"Strong Performer","Regular Performer"))</f>
        <v>Top Performer</v>
      </c>
      <c r="U13" s="6" t="str">
        <f aca="false">IF(OR(B13&gt;=15000,C13&gt;=20),"VIP Eligible",IF(OR(B13&gt;=10000,C13&gt;=15),"Eligible","Not Eligible"))</f>
        <v>VIP Eligible</v>
      </c>
      <c r="V13" s="6" t="str">
        <f aca="false">IF(E13&gt;=3,"Critical Risk",IF(AND(E13&gt;=2,B13&lt;8000),"High Risk",IF(E13=1,"Medium Risk","Low Risk")))</f>
        <v>Low Risk</v>
      </c>
      <c r="W13" s="6" t="str">
        <f aca="false">IF(B13&gt;=15000,"Reward",IF(B13&gt;=10000,"Appreciate",IF(B13&gt;=5000,"Coach","Train")))</f>
        <v>Reward</v>
      </c>
      <c r="X13" s="6" t="str">
        <f aca="false">IF(AND(B13&gt;=15000,E13=0),"Excellent Customer",IF(AND(B13&gt;=10000,E13&lt;=1),"Good Customer",IF(B13&gt;=5000,"Regular Customer","Low Value Customer")))</f>
        <v>Excellent Customer</v>
      </c>
      <c r="Y13" s="6" t="str">
        <f aca="false">IF(AND(B13&gt;=15000,C13&gt;=20,E13=0),"VIP + Reward",IF(AND(B13&gt;=10000,C13&gt;=15),"Priority Customer",IF(OR(B13&gt;=5000,C13&gt;=10),"Normal Customer","Needs Attention")))</f>
        <v>VIP + Reward</v>
      </c>
    </row>
    <row r="14" customFormat="false" ht="15" hidden="false" customHeight="false" outlineLevel="0" collapsed="false">
      <c r="A14" s="8" t="s">
        <v>275</v>
      </c>
      <c r="B14" s="24" t="n">
        <v>7000</v>
      </c>
      <c r="C14" s="8" t="n">
        <v>10</v>
      </c>
      <c r="D14" s="47" t="n">
        <v>0.05</v>
      </c>
      <c r="E14" s="8" t="n">
        <v>0</v>
      </c>
      <c r="F14" s="8" t="str">
        <f aca="false">IF(B14&gt;=15000,"Very High",IF(B14&gt;=10000,"High","Low"))</f>
        <v>Low</v>
      </c>
      <c r="G14" s="8" t="str">
        <f aca="false">IF(B14&gt;=15000,"A",IF(B14&gt;=10000,"B",IF(B14&gt;=5000,"C","D")))</f>
        <v>C</v>
      </c>
      <c r="H14" s="8" t="str">
        <f aca="false">IF(B14&gt;=18000,"Excellent",IF(B14&gt;=15000,"Very Good",IF(B14&gt;=10000,"Good",IF(B14&gt;=5000,"Average","Poor"))))</f>
        <v>Average</v>
      </c>
      <c r="I14" s="8" t="str">
        <f aca="false">IF(C14&gt;=20,"Bulk",IF(C14&gt;=15,"Large",IF(C14&gt;=10,"Medium","Small")))</f>
        <v>Medium</v>
      </c>
      <c r="J14" s="8" t="str">
        <f aca="false">IF(D14&gt;=15%,"Very High Discount",IF(D14&gt;=10%,"High Discount",IF(D14&gt;=5%,"Medium Discount","Low Discount")))</f>
        <v>Medium Discount</v>
      </c>
      <c r="K14" s="8" t="str">
        <f aca="false">IF(E14&gt;=3,"Critical",IF(E14=2,"High",IF(E14=1,"Medium","Low")))</f>
        <v>Low</v>
      </c>
      <c r="L14" s="8" t="str">
        <f aca="false">IF(B14&gt;=15000,"Premium",IF(B14&gt;=10000,"Gold",IF(B14&gt;=5000,"Silver","Bronze")))</f>
        <v>Silver</v>
      </c>
      <c r="M14" s="8" t="str">
        <f aca="false">IF(B14&gt;=15000,"Excellent",IF(B14&gt;=10000,"Good",IF(B14&gt;=7000,"Average","Needs Improvement")))</f>
        <v>Average</v>
      </c>
      <c r="N14" s="47" t="n">
        <f aca="false">IF(B14&gt;=15000,15%,IF(B14&gt;=10000,10%,IF(B14&gt;=5000,5%,0%)))</f>
        <v>0.05</v>
      </c>
      <c r="O14" s="24" t="n">
        <f aca="false">IF(B14&gt;=15000,B14*15%,IF(B14&gt;=10000,B14*10%,IF(B14&gt;=5000,B14*5%,0)))</f>
        <v>350</v>
      </c>
      <c r="P14" s="8" t="str">
        <f aca="false">IF(C14&gt;=20,"Very Large Buyer",IF(C14&gt;=15,"Large Buyer",IF(C14&gt;=10,"Medium Buyer","Small Buyer")))</f>
        <v>Medium Buyer</v>
      </c>
      <c r="Q14" s="8" t="str">
        <f aca="false">IF(B14&gt;=15000,"Priority 1",IF(B14&gt;=10000,"Priority 2",IF(B14&gt;=5000,"Priority 3","Priority 4")))</f>
        <v>Priority 3</v>
      </c>
      <c r="R14" s="8" t="str">
        <f aca="false">IF(D14&gt;=15%,"Review Discount",IF(D14&gt;=10%,"Monitor",IF(D14&gt;=5%,"Acceptable","Low Discount")))</f>
        <v>Acceptable</v>
      </c>
      <c r="S14" s="8" t="str">
        <f aca="false">IF(E14&gt;=3,"Immediate Action",IF(E14=2,"Investigate",IF(E14=1,"Monitor","No Action")))</f>
        <v>No Action</v>
      </c>
      <c r="T14" s="8" t="str">
        <f aca="false">IF(AND(B14&gt;=15000,C14&gt;=20),"Top Performer",IF(AND(B14&gt;=10000,C14&gt;=15),"Strong Performer","Regular Performer"))</f>
        <v>Regular Performer</v>
      </c>
      <c r="U14" s="8" t="str">
        <f aca="false">IF(OR(B14&gt;=15000,C14&gt;=20),"VIP Eligible",IF(OR(B14&gt;=10000,C14&gt;=15),"Eligible","Not Eligible"))</f>
        <v>Not Eligible</v>
      </c>
      <c r="V14" s="8" t="str">
        <f aca="false">IF(E14&gt;=3,"Critical Risk",IF(AND(E14&gt;=2,B14&lt;8000),"High Risk",IF(E14=1,"Medium Risk","Low Risk")))</f>
        <v>Low Risk</v>
      </c>
      <c r="W14" s="8" t="str">
        <f aca="false">IF(B14&gt;=15000,"Reward",IF(B14&gt;=10000,"Appreciate",IF(B14&gt;=5000,"Coach","Train")))</f>
        <v>Coach</v>
      </c>
      <c r="X14" s="8" t="str">
        <f aca="false">IF(AND(B14&gt;=15000,E14=0),"Excellent Customer",IF(AND(B14&gt;=10000,E14&lt;=1),"Good Customer",IF(B14&gt;=5000,"Regular Customer","Low Value Customer")))</f>
        <v>Regular Customer</v>
      </c>
      <c r="Y14" s="8" t="str">
        <f aca="false">IF(AND(B14&gt;=15000,C14&gt;=20,E14=0),"VIP + Reward",IF(AND(B14&gt;=10000,C14&gt;=15),"Priority Customer",IF(OR(B14&gt;=5000,C14&gt;=10),"Normal Customer","Needs Attention")))</f>
        <v>Normal Customer</v>
      </c>
    </row>
    <row r="15" customFormat="false" ht="15" hidden="false" customHeight="false" outlineLevel="0" collapsed="false">
      <c r="A15" s="6" t="s">
        <v>276</v>
      </c>
      <c r="B15" s="22" t="n">
        <v>12000</v>
      </c>
      <c r="C15" s="6" t="n">
        <v>18</v>
      </c>
      <c r="D15" s="46" t="n">
        <v>0.12</v>
      </c>
      <c r="E15" s="6" t="n">
        <v>1</v>
      </c>
      <c r="F15" s="6" t="str">
        <f aca="false">IF(B15&gt;=15000,"Very High",IF(B15&gt;=10000,"High","Low"))</f>
        <v>High</v>
      </c>
      <c r="G15" s="6" t="str">
        <f aca="false">IF(B15&gt;=15000,"A",IF(B15&gt;=10000,"B",IF(B15&gt;=5000,"C","D")))</f>
        <v>B</v>
      </c>
      <c r="H15" s="6" t="str">
        <f aca="false">IF(B15&gt;=18000,"Excellent",IF(B15&gt;=15000,"Very Good",IF(B15&gt;=10000,"Good",IF(B15&gt;=5000,"Average","Poor"))))</f>
        <v>Good</v>
      </c>
      <c r="I15" s="6" t="str">
        <f aca="false">IF(C15&gt;=20,"Bulk",IF(C15&gt;=15,"Large",IF(C15&gt;=10,"Medium","Small")))</f>
        <v>Large</v>
      </c>
      <c r="J15" s="6" t="str">
        <f aca="false">IF(D15&gt;=15%,"Very High Discount",IF(D15&gt;=10%,"High Discount",IF(D15&gt;=5%,"Medium Discount","Low Discount")))</f>
        <v>High Discount</v>
      </c>
      <c r="K15" s="6" t="str">
        <f aca="false">IF(E15&gt;=3,"Critical",IF(E15=2,"High",IF(E15=1,"Medium","Low")))</f>
        <v>Medium</v>
      </c>
      <c r="L15" s="6" t="str">
        <f aca="false">IF(B15&gt;=15000,"Premium",IF(B15&gt;=10000,"Gold",IF(B15&gt;=5000,"Silver","Bronze")))</f>
        <v>Gold</v>
      </c>
      <c r="M15" s="6" t="str">
        <f aca="false">IF(B15&gt;=15000,"Excellent",IF(B15&gt;=10000,"Good",IF(B15&gt;=7000,"Average","Needs Improvement")))</f>
        <v>Good</v>
      </c>
      <c r="N15" s="46" t="n">
        <f aca="false">IF(B15&gt;=15000,15%,IF(B15&gt;=10000,10%,IF(B15&gt;=5000,5%,0%)))</f>
        <v>0.1</v>
      </c>
      <c r="O15" s="22" t="n">
        <f aca="false">IF(B15&gt;=15000,B15*15%,IF(B15&gt;=10000,B15*10%,IF(B15&gt;=5000,B15*5%,0)))</f>
        <v>1200</v>
      </c>
      <c r="P15" s="6" t="str">
        <f aca="false">IF(C15&gt;=20,"Very Large Buyer",IF(C15&gt;=15,"Large Buyer",IF(C15&gt;=10,"Medium Buyer","Small Buyer")))</f>
        <v>Large Buyer</v>
      </c>
      <c r="Q15" s="6" t="str">
        <f aca="false">IF(B15&gt;=15000,"Priority 1",IF(B15&gt;=10000,"Priority 2",IF(B15&gt;=5000,"Priority 3","Priority 4")))</f>
        <v>Priority 2</v>
      </c>
      <c r="R15" s="6" t="str">
        <f aca="false">IF(D15&gt;=15%,"Review Discount",IF(D15&gt;=10%,"Monitor",IF(D15&gt;=5%,"Acceptable","Low Discount")))</f>
        <v>Monitor</v>
      </c>
      <c r="S15" s="6" t="str">
        <f aca="false">IF(E15&gt;=3,"Immediate Action",IF(E15=2,"Investigate",IF(E15=1,"Monitor","No Action")))</f>
        <v>Monitor</v>
      </c>
      <c r="T15" s="6" t="str">
        <f aca="false">IF(AND(B15&gt;=15000,C15&gt;=20),"Top Performer",IF(AND(B15&gt;=10000,C15&gt;=15),"Strong Performer","Regular Performer"))</f>
        <v>Strong Performer</v>
      </c>
      <c r="U15" s="6" t="str">
        <f aca="false">IF(OR(B15&gt;=15000,C15&gt;=20),"VIP Eligible",IF(OR(B15&gt;=10000,C15&gt;=15),"Eligible","Not Eligible"))</f>
        <v>Eligible</v>
      </c>
      <c r="V15" s="6" t="str">
        <f aca="false">IF(E15&gt;=3,"Critical Risk",IF(AND(E15&gt;=2,B15&lt;8000),"High Risk",IF(E15=1,"Medium Risk","Low Risk")))</f>
        <v>Medium Risk</v>
      </c>
      <c r="W15" s="6" t="str">
        <f aca="false">IF(B15&gt;=15000,"Reward",IF(B15&gt;=10000,"Appreciate",IF(B15&gt;=5000,"Coach","Train")))</f>
        <v>Appreciate</v>
      </c>
      <c r="X15" s="6" t="str">
        <f aca="false">IF(AND(B15&gt;=15000,E15=0),"Excellent Customer",IF(AND(B15&gt;=10000,E15&lt;=1),"Good Customer",IF(B15&gt;=5000,"Regular Customer","Low Value Customer")))</f>
        <v>Good Customer</v>
      </c>
      <c r="Y15" s="6" t="str">
        <f aca="false">IF(AND(B15&gt;=15000,C15&gt;=20,E15=0),"VIP + Reward",IF(AND(B15&gt;=10000,C15&gt;=15),"Priority Customer",IF(OR(B15&gt;=5000,C15&gt;=10),"Normal Customer","Needs Attention")))</f>
        <v>Priority Customer</v>
      </c>
    </row>
    <row r="16" customFormat="false" ht="15" hidden="false" customHeight="false" outlineLevel="0" collapsed="false">
      <c r="A16" s="8" t="s">
        <v>277</v>
      </c>
      <c r="B16" s="24" t="n">
        <v>2500</v>
      </c>
      <c r="C16" s="8" t="n">
        <v>2</v>
      </c>
      <c r="D16" s="47" t="n">
        <v>0</v>
      </c>
      <c r="E16" s="8" t="n">
        <v>3</v>
      </c>
      <c r="F16" s="8" t="str">
        <f aca="false">IF(B16&gt;=15000,"Very High",IF(B16&gt;=10000,"High","Low"))</f>
        <v>Low</v>
      </c>
      <c r="G16" s="8" t="str">
        <f aca="false">IF(B16&gt;=15000,"A",IF(B16&gt;=10000,"B",IF(B16&gt;=5000,"C","D")))</f>
        <v>D</v>
      </c>
      <c r="H16" s="8" t="str">
        <f aca="false">IF(B16&gt;=18000,"Excellent",IF(B16&gt;=15000,"Very Good",IF(B16&gt;=10000,"Good",IF(B16&gt;=5000,"Average","Poor"))))</f>
        <v>Poor</v>
      </c>
      <c r="I16" s="8" t="str">
        <f aca="false">IF(C16&gt;=20,"Bulk",IF(C16&gt;=15,"Large",IF(C16&gt;=10,"Medium","Small")))</f>
        <v>Small</v>
      </c>
      <c r="J16" s="8" t="str">
        <f aca="false">IF(D16&gt;=15%,"Very High Discount",IF(D16&gt;=10%,"High Discount",IF(D16&gt;=5%,"Medium Discount","Low Discount")))</f>
        <v>Low Discount</v>
      </c>
      <c r="K16" s="8" t="str">
        <f aca="false">IF(E16&gt;=3,"Critical",IF(E16=2,"High",IF(E16=1,"Medium","Low")))</f>
        <v>Critical</v>
      </c>
      <c r="L16" s="8" t="str">
        <f aca="false">IF(B16&gt;=15000,"Premium",IF(B16&gt;=10000,"Gold",IF(B16&gt;=5000,"Silver","Bronze")))</f>
        <v>Bronze</v>
      </c>
      <c r="M16" s="8" t="str">
        <f aca="false">IF(B16&gt;=15000,"Excellent",IF(B16&gt;=10000,"Good",IF(B16&gt;=7000,"Average","Needs Improvement")))</f>
        <v>Needs Improvement</v>
      </c>
      <c r="N16" s="47" t="n">
        <f aca="false">IF(B16&gt;=15000,15%,IF(B16&gt;=10000,10%,IF(B16&gt;=5000,5%,0%)))</f>
        <v>0</v>
      </c>
      <c r="O16" s="24" t="n">
        <f aca="false">IF(B16&gt;=15000,B16*15%,IF(B16&gt;=10000,B16*10%,IF(B16&gt;=5000,B16*5%,0)))</f>
        <v>0</v>
      </c>
      <c r="P16" s="8" t="str">
        <f aca="false">IF(C16&gt;=20,"Very Large Buyer",IF(C16&gt;=15,"Large Buyer",IF(C16&gt;=10,"Medium Buyer","Small Buyer")))</f>
        <v>Small Buyer</v>
      </c>
      <c r="Q16" s="8" t="str">
        <f aca="false">IF(B16&gt;=15000,"Priority 1",IF(B16&gt;=10000,"Priority 2",IF(B16&gt;=5000,"Priority 3","Priority 4")))</f>
        <v>Priority 4</v>
      </c>
      <c r="R16" s="8" t="str">
        <f aca="false">IF(D16&gt;=15%,"Review Discount",IF(D16&gt;=10%,"Monitor",IF(D16&gt;=5%,"Acceptable","Low Discount")))</f>
        <v>Low Discount</v>
      </c>
      <c r="S16" s="8" t="str">
        <f aca="false">IF(E16&gt;=3,"Immediate Action",IF(E16=2,"Investigate",IF(E16=1,"Monitor","No Action")))</f>
        <v>Immediate Action</v>
      </c>
      <c r="T16" s="8" t="str">
        <f aca="false">IF(AND(B16&gt;=15000,C16&gt;=20),"Top Performer",IF(AND(B16&gt;=10000,C16&gt;=15),"Strong Performer","Regular Performer"))</f>
        <v>Regular Performer</v>
      </c>
      <c r="U16" s="8" t="str">
        <f aca="false">IF(OR(B16&gt;=15000,C16&gt;=20),"VIP Eligible",IF(OR(B16&gt;=10000,C16&gt;=15),"Eligible","Not Eligible"))</f>
        <v>Not Eligible</v>
      </c>
      <c r="V16" s="8" t="str">
        <f aca="false">IF(E16&gt;=3,"Critical Risk",IF(AND(E16&gt;=2,B16&lt;8000),"High Risk",IF(E16=1,"Medium Risk","Low Risk")))</f>
        <v>Critical Risk</v>
      </c>
      <c r="W16" s="8" t="str">
        <f aca="false">IF(B16&gt;=15000,"Reward",IF(B16&gt;=10000,"Appreciate",IF(B16&gt;=5000,"Coach","Train")))</f>
        <v>Train</v>
      </c>
      <c r="X16" s="8" t="str">
        <f aca="false">IF(AND(B16&gt;=15000,E16=0),"Excellent Customer",IF(AND(B16&gt;=10000,E16&lt;=1),"Good Customer",IF(B16&gt;=5000,"Regular Customer","Low Value Customer")))</f>
        <v>Low Value Customer</v>
      </c>
      <c r="Y16" s="8" t="str">
        <f aca="false">IF(AND(B16&gt;=15000,C16&gt;=20,E16=0),"VIP + Reward",IF(AND(B16&gt;=10000,C16&gt;=15),"Priority Customer",IF(OR(B16&gt;=5000,C16&gt;=10),"Normal Customer","Needs Attention")))</f>
        <v>Needs Attention</v>
      </c>
    </row>
    <row r="17" customFormat="false" ht="15" hidden="false" customHeight="false" outlineLevel="0" collapsed="false">
      <c r="A17" s="6" t="s">
        <v>278</v>
      </c>
      <c r="B17" s="22" t="n">
        <v>11000</v>
      </c>
      <c r="C17" s="6" t="n">
        <v>16</v>
      </c>
      <c r="D17" s="46" t="n">
        <v>0.1</v>
      </c>
      <c r="E17" s="6" t="n">
        <v>1</v>
      </c>
      <c r="F17" s="6" t="str">
        <f aca="false">IF(B17&gt;=15000,"Very High",IF(B17&gt;=10000,"High","Low"))</f>
        <v>High</v>
      </c>
      <c r="G17" s="6" t="str">
        <f aca="false">IF(B17&gt;=15000,"A",IF(B17&gt;=10000,"B",IF(B17&gt;=5000,"C","D")))</f>
        <v>B</v>
      </c>
      <c r="H17" s="6" t="str">
        <f aca="false">IF(B17&gt;=18000,"Excellent",IF(B17&gt;=15000,"Very Good",IF(B17&gt;=10000,"Good",IF(B17&gt;=5000,"Average","Poor"))))</f>
        <v>Good</v>
      </c>
      <c r="I17" s="6" t="str">
        <f aca="false">IF(C17&gt;=20,"Bulk",IF(C17&gt;=15,"Large",IF(C17&gt;=10,"Medium","Small")))</f>
        <v>Large</v>
      </c>
      <c r="J17" s="6" t="str">
        <f aca="false">IF(D17&gt;=15%,"Very High Discount",IF(D17&gt;=10%,"High Discount",IF(D17&gt;=5%,"Medium Discount","Low Discount")))</f>
        <v>High Discount</v>
      </c>
      <c r="K17" s="6" t="str">
        <f aca="false">IF(E17&gt;=3,"Critical",IF(E17=2,"High",IF(E17=1,"Medium","Low")))</f>
        <v>Medium</v>
      </c>
      <c r="L17" s="6" t="str">
        <f aca="false">IF(B17&gt;=15000,"Premium",IF(B17&gt;=10000,"Gold",IF(B17&gt;=5000,"Silver","Bronze")))</f>
        <v>Gold</v>
      </c>
      <c r="M17" s="6" t="str">
        <f aca="false">IF(B17&gt;=15000,"Excellent",IF(B17&gt;=10000,"Good",IF(B17&gt;=7000,"Average","Needs Improvement")))</f>
        <v>Good</v>
      </c>
      <c r="N17" s="46" t="n">
        <f aca="false">IF(B17&gt;=15000,15%,IF(B17&gt;=10000,10%,IF(B17&gt;=5000,5%,0%)))</f>
        <v>0.1</v>
      </c>
      <c r="O17" s="22" t="n">
        <f aca="false">IF(B17&gt;=15000,B17*15%,IF(B17&gt;=10000,B17*10%,IF(B17&gt;=5000,B17*5%,0)))</f>
        <v>1100</v>
      </c>
      <c r="P17" s="6" t="str">
        <f aca="false">IF(C17&gt;=20,"Very Large Buyer",IF(C17&gt;=15,"Large Buyer",IF(C17&gt;=10,"Medium Buyer","Small Buyer")))</f>
        <v>Large Buyer</v>
      </c>
      <c r="Q17" s="6" t="str">
        <f aca="false">IF(B17&gt;=15000,"Priority 1",IF(B17&gt;=10000,"Priority 2",IF(B17&gt;=5000,"Priority 3","Priority 4")))</f>
        <v>Priority 2</v>
      </c>
      <c r="R17" s="6" t="str">
        <f aca="false">IF(D17&gt;=15%,"Review Discount",IF(D17&gt;=10%,"Monitor",IF(D17&gt;=5%,"Acceptable","Low Discount")))</f>
        <v>Monitor</v>
      </c>
      <c r="S17" s="6" t="str">
        <f aca="false">IF(E17&gt;=3,"Immediate Action",IF(E17=2,"Investigate",IF(E17=1,"Monitor","No Action")))</f>
        <v>Monitor</v>
      </c>
      <c r="T17" s="6" t="str">
        <f aca="false">IF(AND(B17&gt;=15000,C17&gt;=20),"Top Performer",IF(AND(B17&gt;=10000,C17&gt;=15),"Strong Performer","Regular Performer"))</f>
        <v>Strong Performer</v>
      </c>
      <c r="U17" s="6" t="str">
        <f aca="false">IF(OR(B17&gt;=15000,C17&gt;=20),"VIP Eligible",IF(OR(B17&gt;=10000,C17&gt;=15),"Eligible","Not Eligible"))</f>
        <v>Eligible</v>
      </c>
      <c r="V17" s="6" t="str">
        <f aca="false">IF(E17&gt;=3,"Critical Risk",IF(AND(E17&gt;=2,B17&lt;8000),"High Risk",IF(E17=1,"Medium Risk","Low Risk")))</f>
        <v>Medium Risk</v>
      </c>
      <c r="W17" s="6" t="str">
        <f aca="false">IF(B17&gt;=15000,"Reward",IF(B17&gt;=10000,"Appreciate",IF(B17&gt;=5000,"Coach","Train")))</f>
        <v>Appreciate</v>
      </c>
      <c r="X17" s="6" t="str">
        <f aca="false">IF(AND(B17&gt;=15000,E17=0),"Excellent Customer",IF(AND(B17&gt;=10000,E17&lt;=1),"Good Customer",IF(B17&gt;=5000,"Regular Customer","Low Value Customer")))</f>
        <v>Good Customer</v>
      </c>
      <c r="Y17" s="6" t="str">
        <f aca="false">IF(AND(B17&gt;=15000,C17&gt;=20,E17=0),"VIP + Reward",IF(AND(B17&gt;=10000,C17&gt;=15),"Priority Customer",IF(OR(B17&gt;=5000,C17&gt;=10),"Normal Customer","Needs Attention")))</f>
        <v>Priority Customer</v>
      </c>
    </row>
    <row r="18" customFormat="false" ht="15" hidden="false" customHeight="false" outlineLevel="0" collapsed="false">
      <c r="A18" s="8" t="s">
        <v>279</v>
      </c>
      <c r="B18" s="24" t="n">
        <v>16000</v>
      </c>
      <c r="C18" s="8" t="n">
        <v>22</v>
      </c>
      <c r="D18" s="47" t="n">
        <v>0.18</v>
      </c>
      <c r="E18" s="8" t="n">
        <v>0</v>
      </c>
      <c r="F18" s="8" t="str">
        <f aca="false">IF(B18&gt;=15000,"Very High",IF(B18&gt;=10000,"High","Low"))</f>
        <v>Very High</v>
      </c>
      <c r="G18" s="8" t="str">
        <f aca="false">IF(B18&gt;=15000,"A",IF(B18&gt;=10000,"B",IF(B18&gt;=5000,"C","D")))</f>
        <v>A</v>
      </c>
      <c r="H18" s="8" t="str">
        <f aca="false">IF(B18&gt;=18000,"Excellent",IF(B18&gt;=15000,"Very Good",IF(B18&gt;=10000,"Good",IF(B18&gt;=5000,"Average","Poor"))))</f>
        <v>Very Good</v>
      </c>
      <c r="I18" s="8" t="str">
        <f aca="false">IF(C18&gt;=20,"Bulk",IF(C18&gt;=15,"Large",IF(C18&gt;=10,"Medium","Small")))</f>
        <v>Bulk</v>
      </c>
      <c r="J18" s="8" t="str">
        <f aca="false">IF(D18&gt;=15%,"Very High Discount",IF(D18&gt;=10%,"High Discount",IF(D18&gt;=5%,"Medium Discount","Low Discount")))</f>
        <v>Very High Discount</v>
      </c>
      <c r="K18" s="8" t="str">
        <f aca="false">IF(E18&gt;=3,"Critical",IF(E18=2,"High",IF(E18=1,"Medium","Low")))</f>
        <v>Low</v>
      </c>
      <c r="L18" s="8" t="str">
        <f aca="false">IF(B18&gt;=15000,"Premium",IF(B18&gt;=10000,"Gold",IF(B18&gt;=5000,"Silver","Bronze")))</f>
        <v>Premium</v>
      </c>
      <c r="M18" s="8" t="str">
        <f aca="false">IF(B18&gt;=15000,"Excellent",IF(B18&gt;=10000,"Good",IF(B18&gt;=7000,"Average","Needs Improvement")))</f>
        <v>Excellent</v>
      </c>
      <c r="N18" s="47" t="n">
        <f aca="false">IF(B18&gt;=15000,15%,IF(B18&gt;=10000,10%,IF(B18&gt;=5000,5%,0%)))</f>
        <v>0.15</v>
      </c>
      <c r="O18" s="24" t="n">
        <f aca="false">IF(B18&gt;=15000,B18*15%,IF(B18&gt;=10000,B18*10%,IF(B18&gt;=5000,B18*5%,0)))</f>
        <v>2400</v>
      </c>
      <c r="P18" s="8" t="str">
        <f aca="false">IF(C18&gt;=20,"Very Large Buyer",IF(C18&gt;=15,"Large Buyer",IF(C18&gt;=10,"Medium Buyer","Small Buyer")))</f>
        <v>Very Large Buyer</v>
      </c>
      <c r="Q18" s="8" t="str">
        <f aca="false">IF(B18&gt;=15000,"Priority 1",IF(B18&gt;=10000,"Priority 2",IF(B18&gt;=5000,"Priority 3","Priority 4")))</f>
        <v>Priority 1</v>
      </c>
      <c r="R18" s="8" t="str">
        <f aca="false">IF(D18&gt;=15%,"Review Discount",IF(D18&gt;=10%,"Monitor",IF(D18&gt;=5%,"Acceptable","Low Discount")))</f>
        <v>Review Discount</v>
      </c>
      <c r="S18" s="8" t="str">
        <f aca="false">IF(E18&gt;=3,"Immediate Action",IF(E18=2,"Investigate",IF(E18=1,"Monitor","No Action")))</f>
        <v>No Action</v>
      </c>
      <c r="T18" s="8" t="str">
        <f aca="false">IF(AND(B18&gt;=15000,C18&gt;=20),"Top Performer",IF(AND(B18&gt;=10000,C18&gt;=15),"Strong Performer","Regular Performer"))</f>
        <v>Top Performer</v>
      </c>
      <c r="U18" s="8" t="str">
        <f aca="false">IF(OR(B18&gt;=15000,C18&gt;=20),"VIP Eligible",IF(OR(B18&gt;=10000,C18&gt;=15),"Eligible","Not Eligible"))</f>
        <v>VIP Eligible</v>
      </c>
      <c r="V18" s="8" t="str">
        <f aca="false">IF(E18&gt;=3,"Critical Risk",IF(AND(E18&gt;=2,B18&lt;8000),"High Risk",IF(E18=1,"Medium Risk","Low Risk")))</f>
        <v>Low Risk</v>
      </c>
      <c r="W18" s="8" t="str">
        <f aca="false">IF(B18&gt;=15000,"Reward",IF(B18&gt;=10000,"Appreciate",IF(B18&gt;=5000,"Coach","Train")))</f>
        <v>Reward</v>
      </c>
      <c r="X18" s="8" t="str">
        <f aca="false">IF(AND(B18&gt;=15000,E18=0),"Excellent Customer",IF(AND(B18&gt;=10000,E18&lt;=1),"Good Customer",IF(B18&gt;=5000,"Regular Customer","Low Value Customer")))</f>
        <v>Excellent Customer</v>
      </c>
      <c r="Y18" s="8" t="str">
        <f aca="false">IF(AND(B18&gt;=15000,C18&gt;=20,E18=0),"VIP + Reward",IF(AND(B18&gt;=10000,C18&gt;=15),"Priority Customer",IF(OR(B18&gt;=5000,C18&gt;=10),"Normal Customer","Needs Attention")))</f>
        <v>VIP + Reward</v>
      </c>
    </row>
    <row r="19" customFormat="false" ht="15" hidden="false" customHeight="false" outlineLevel="0" collapsed="false">
      <c r="A19" s="6" t="s">
        <v>280</v>
      </c>
      <c r="B19" s="22" t="n">
        <v>6000</v>
      </c>
      <c r="C19" s="6" t="n">
        <v>8</v>
      </c>
      <c r="D19" s="46" t="n">
        <v>0.07</v>
      </c>
      <c r="E19" s="6" t="n">
        <v>2</v>
      </c>
      <c r="F19" s="6" t="str">
        <f aca="false">IF(B19&gt;=15000,"Very High",IF(B19&gt;=10000,"High","Low"))</f>
        <v>Low</v>
      </c>
      <c r="G19" s="6" t="str">
        <f aca="false">IF(B19&gt;=15000,"A",IF(B19&gt;=10000,"B",IF(B19&gt;=5000,"C","D")))</f>
        <v>C</v>
      </c>
      <c r="H19" s="6" t="str">
        <f aca="false">IF(B19&gt;=18000,"Excellent",IF(B19&gt;=15000,"Very Good",IF(B19&gt;=10000,"Good",IF(B19&gt;=5000,"Average","Poor"))))</f>
        <v>Average</v>
      </c>
      <c r="I19" s="6" t="str">
        <f aca="false">IF(C19&gt;=20,"Bulk",IF(C19&gt;=15,"Large",IF(C19&gt;=10,"Medium","Small")))</f>
        <v>Small</v>
      </c>
      <c r="J19" s="6" t="str">
        <f aca="false">IF(D19&gt;=15%,"Very High Discount",IF(D19&gt;=10%,"High Discount",IF(D19&gt;=5%,"Medium Discount","Low Discount")))</f>
        <v>Medium Discount</v>
      </c>
      <c r="K19" s="6" t="str">
        <f aca="false">IF(E19&gt;=3,"Critical",IF(E19=2,"High",IF(E19=1,"Medium","Low")))</f>
        <v>High</v>
      </c>
      <c r="L19" s="6" t="str">
        <f aca="false">IF(B19&gt;=15000,"Premium",IF(B19&gt;=10000,"Gold",IF(B19&gt;=5000,"Silver","Bronze")))</f>
        <v>Silver</v>
      </c>
      <c r="M19" s="6" t="str">
        <f aca="false">IF(B19&gt;=15000,"Excellent",IF(B19&gt;=10000,"Good",IF(B19&gt;=7000,"Average","Needs Improvement")))</f>
        <v>Needs Improvement</v>
      </c>
      <c r="N19" s="46" t="n">
        <f aca="false">IF(B19&gt;=15000,15%,IF(B19&gt;=10000,10%,IF(B19&gt;=5000,5%,0%)))</f>
        <v>0.05</v>
      </c>
      <c r="O19" s="22" t="n">
        <f aca="false">IF(B19&gt;=15000,B19*15%,IF(B19&gt;=10000,B19*10%,IF(B19&gt;=5000,B19*5%,0)))</f>
        <v>300</v>
      </c>
      <c r="P19" s="6" t="str">
        <f aca="false">IF(C19&gt;=20,"Very Large Buyer",IF(C19&gt;=15,"Large Buyer",IF(C19&gt;=10,"Medium Buyer","Small Buyer")))</f>
        <v>Small Buyer</v>
      </c>
      <c r="Q19" s="6" t="str">
        <f aca="false">IF(B19&gt;=15000,"Priority 1",IF(B19&gt;=10000,"Priority 2",IF(B19&gt;=5000,"Priority 3","Priority 4")))</f>
        <v>Priority 3</v>
      </c>
      <c r="R19" s="6" t="str">
        <f aca="false">IF(D19&gt;=15%,"Review Discount",IF(D19&gt;=10%,"Monitor",IF(D19&gt;=5%,"Acceptable","Low Discount")))</f>
        <v>Acceptable</v>
      </c>
      <c r="S19" s="6" t="str">
        <f aca="false">IF(E19&gt;=3,"Immediate Action",IF(E19=2,"Investigate",IF(E19=1,"Monitor","No Action")))</f>
        <v>Investigate</v>
      </c>
      <c r="T19" s="6" t="str">
        <f aca="false">IF(AND(B19&gt;=15000,C19&gt;=20),"Top Performer",IF(AND(B19&gt;=10000,C19&gt;=15),"Strong Performer","Regular Performer"))</f>
        <v>Regular Performer</v>
      </c>
      <c r="U19" s="6" t="str">
        <f aca="false">IF(OR(B19&gt;=15000,C19&gt;=20),"VIP Eligible",IF(OR(B19&gt;=10000,C19&gt;=15),"Eligible","Not Eligible"))</f>
        <v>Not Eligible</v>
      </c>
      <c r="V19" s="6" t="str">
        <f aca="false">IF(E19&gt;=3,"Critical Risk",IF(AND(E19&gt;=2,B19&lt;8000),"High Risk",IF(E19=1,"Medium Risk","Low Risk")))</f>
        <v>High Risk</v>
      </c>
      <c r="W19" s="6" t="str">
        <f aca="false">IF(B19&gt;=15000,"Reward",IF(B19&gt;=10000,"Appreciate",IF(B19&gt;=5000,"Coach","Train")))</f>
        <v>Coach</v>
      </c>
      <c r="X19" s="6" t="str">
        <f aca="false">IF(AND(B19&gt;=15000,E19=0),"Excellent Customer",IF(AND(B19&gt;=10000,E19&lt;=1),"Good Customer",IF(B19&gt;=5000,"Regular Customer","Low Value Customer")))</f>
        <v>Regular Customer</v>
      </c>
      <c r="Y19" s="6" t="str">
        <f aca="false">IF(AND(B19&gt;=15000,C19&gt;=20,E19=0),"VIP + Reward",IF(AND(B19&gt;=10000,C19&gt;=15),"Priority Customer",IF(OR(B19&gt;=5000,C19&gt;=10),"Normal Customer","Needs Attention")))</f>
        <v>Normal Customer</v>
      </c>
    </row>
    <row r="20" customFormat="false" ht="15" hidden="false" customHeight="false" outlineLevel="0" collapsed="false">
      <c r="A20" s="8" t="s">
        <v>281</v>
      </c>
      <c r="B20" s="24" t="n">
        <v>14000</v>
      </c>
      <c r="C20" s="8" t="n">
        <v>19</v>
      </c>
      <c r="D20" s="47" t="n">
        <v>0.1</v>
      </c>
      <c r="E20" s="8" t="n">
        <v>0</v>
      </c>
      <c r="F20" s="8" t="str">
        <f aca="false">IF(B20&gt;=15000,"Very High",IF(B20&gt;=10000,"High","Low"))</f>
        <v>High</v>
      </c>
      <c r="G20" s="8" t="str">
        <f aca="false">IF(B20&gt;=15000,"A",IF(B20&gt;=10000,"B",IF(B20&gt;=5000,"C","D")))</f>
        <v>B</v>
      </c>
      <c r="H20" s="8" t="str">
        <f aca="false">IF(B20&gt;=18000,"Excellent",IF(B20&gt;=15000,"Very Good",IF(B20&gt;=10000,"Good",IF(B20&gt;=5000,"Average","Poor"))))</f>
        <v>Good</v>
      </c>
      <c r="I20" s="8" t="str">
        <f aca="false">IF(C20&gt;=20,"Bulk",IF(C20&gt;=15,"Large",IF(C20&gt;=10,"Medium","Small")))</f>
        <v>Large</v>
      </c>
      <c r="J20" s="8" t="str">
        <f aca="false">IF(D20&gt;=15%,"Very High Discount",IF(D20&gt;=10%,"High Discount",IF(D20&gt;=5%,"Medium Discount","Low Discount")))</f>
        <v>High Discount</v>
      </c>
      <c r="K20" s="8" t="str">
        <f aca="false">IF(E20&gt;=3,"Critical",IF(E20=2,"High",IF(E20=1,"Medium","Low")))</f>
        <v>Low</v>
      </c>
      <c r="L20" s="8" t="str">
        <f aca="false">IF(B20&gt;=15000,"Premium",IF(B20&gt;=10000,"Gold",IF(B20&gt;=5000,"Silver","Bronze")))</f>
        <v>Gold</v>
      </c>
      <c r="M20" s="8" t="str">
        <f aca="false">IF(B20&gt;=15000,"Excellent",IF(B20&gt;=10000,"Good",IF(B20&gt;=7000,"Average","Needs Improvement")))</f>
        <v>Good</v>
      </c>
      <c r="N20" s="47" t="n">
        <f aca="false">IF(B20&gt;=15000,15%,IF(B20&gt;=10000,10%,IF(B20&gt;=5000,5%,0%)))</f>
        <v>0.1</v>
      </c>
      <c r="O20" s="24" t="n">
        <f aca="false">IF(B20&gt;=15000,B20*15%,IF(B20&gt;=10000,B20*10%,IF(B20&gt;=5000,B20*5%,0)))</f>
        <v>1400</v>
      </c>
      <c r="P20" s="8" t="str">
        <f aca="false">IF(C20&gt;=20,"Very Large Buyer",IF(C20&gt;=15,"Large Buyer",IF(C20&gt;=10,"Medium Buyer","Small Buyer")))</f>
        <v>Large Buyer</v>
      </c>
      <c r="Q20" s="8" t="str">
        <f aca="false">IF(B20&gt;=15000,"Priority 1",IF(B20&gt;=10000,"Priority 2",IF(B20&gt;=5000,"Priority 3","Priority 4")))</f>
        <v>Priority 2</v>
      </c>
      <c r="R20" s="8" t="str">
        <f aca="false">IF(D20&gt;=15%,"Review Discount",IF(D20&gt;=10%,"Monitor",IF(D20&gt;=5%,"Acceptable","Low Discount")))</f>
        <v>Monitor</v>
      </c>
      <c r="S20" s="8" t="str">
        <f aca="false">IF(E20&gt;=3,"Immediate Action",IF(E20=2,"Investigate",IF(E20=1,"Monitor","No Action")))</f>
        <v>No Action</v>
      </c>
      <c r="T20" s="8" t="str">
        <f aca="false">IF(AND(B20&gt;=15000,C20&gt;=20),"Top Performer",IF(AND(B20&gt;=10000,C20&gt;=15),"Strong Performer","Regular Performer"))</f>
        <v>Strong Performer</v>
      </c>
      <c r="U20" s="8" t="str">
        <f aca="false">IF(OR(B20&gt;=15000,C20&gt;=20),"VIP Eligible",IF(OR(B20&gt;=10000,C20&gt;=15),"Eligible","Not Eligible"))</f>
        <v>Eligible</v>
      </c>
      <c r="V20" s="8" t="str">
        <f aca="false">IF(E20&gt;=3,"Critical Risk",IF(AND(E20&gt;=2,B20&lt;8000),"High Risk",IF(E20=1,"Medium Risk","Low Risk")))</f>
        <v>Low Risk</v>
      </c>
      <c r="W20" s="8" t="str">
        <f aca="false">IF(B20&gt;=15000,"Reward",IF(B20&gt;=10000,"Appreciate",IF(B20&gt;=5000,"Coach","Train")))</f>
        <v>Appreciate</v>
      </c>
      <c r="X20" s="8" t="str">
        <f aca="false">IF(AND(B20&gt;=15000,E20=0),"Excellent Customer",IF(AND(B20&gt;=10000,E20&lt;=1),"Good Customer",IF(B20&gt;=5000,"Regular Customer","Low Value Customer")))</f>
        <v>Good Customer</v>
      </c>
      <c r="Y20" s="8" t="str">
        <f aca="false">IF(AND(B20&gt;=15000,C20&gt;=20,E20=0),"VIP + Reward",IF(AND(B20&gt;=10000,C20&gt;=15),"Priority Customer",IF(OR(B20&gt;=5000,C20&gt;=10),"Normal Customer","Needs Attention")))</f>
        <v>Priority Customer</v>
      </c>
    </row>
    <row r="21" customFormat="false" ht="15" hidden="false" customHeight="false" outlineLevel="0" collapsed="false">
      <c r="A21" s="6" t="s">
        <v>282</v>
      </c>
      <c r="B21" s="22" t="n">
        <v>4000</v>
      </c>
      <c r="C21" s="6" t="n">
        <v>6</v>
      </c>
      <c r="D21" s="46" t="n">
        <v>0.03</v>
      </c>
      <c r="E21" s="6" t="n">
        <v>1</v>
      </c>
      <c r="F21" s="6" t="str">
        <f aca="false">IF(B21&gt;=15000,"Very High",IF(B21&gt;=10000,"High","Low"))</f>
        <v>Low</v>
      </c>
      <c r="G21" s="6" t="str">
        <f aca="false">IF(B21&gt;=15000,"A",IF(B21&gt;=10000,"B",IF(B21&gt;=5000,"C","D")))</f>
        <v>D</v>
      </c>
      <c r="H21" s="6" t="str">
        <f aca="false">IF(B21&gt;=18000,"Excellent",IF(B21&gt;=15000,"Very Good",IF(B21&gt;=10000,"Good",IF(B21&gt;=5000,"Average","Poor"))))</f>
        <v>Poor</v>
      </c>
      <c r="I21" s="6" t="str">
        <f aca="false">IF(C21&gt;=20,"Bulk",IF(C21&gt;=15,"Large",IF(C21&gt;=10,"Medium","Small")))</f>
        <v>Small</v>
      </c>
      <c r="J21" s="6" t="str">
        <f aca="false">IF(D21&gt;=15%,"Very High Discount",IF(D21&gt;=10%,"High Discount",IF(D21&gt;=5%,"Medium Discount","Low Discount")))</f>
        <v>Low Discount</v>
      </c>
      <c r="K21" s="6" t="str">
        <f aca="false">IF(E21&gt;=3,"Critical",IF(E21=2,"High",IF(E21=1,"Medium","Low")))</f>
        <v>Medium</v>
      </c>
      <c r="L21" s="6" t="str">
        <f aca="false">IF(B21&gt;=15000,"Premium",IF(B21&gt;=10000,"Gold",IF(B21&gt;=5000,"Silver","Bronze")))</f>
        <v>Bronze</v>
      </c>
      <c r="M21" s="6" t="str">
        <f aca="false">IF(B21&gt;=15000,"Excellent",IF(B21&gt;=10000,"Good",IF(B21&gt;=7000,"Average","Needs Improvement")))</f>
        <v>Needs Improvement</v>
      </c>
      <c r="N21" s="46" t="n">
        <f aca="false">IF(B21&gt;=15000,15%,IF(B21&gt;=10000,10%,IF(B21&gt;=5000,5%,0%)))</f>
        <v>0</v>
      </c>
      <c r="O21" s="22" t="n">
        <f aca="false">IF(B21&gt;=15000,B21*15%,IF(B21&gt;=10000,B21*10%,IF(B21&gt;=5000,B21*5%,0)))</f>
        <v>0</v>
      </c>
      <c r="P21" s="6" t="str">
        <f aca="false">IF(C21&gt;=20,"Very Large Buyer",IF(C21&gt;=15,"Large Buyer",IF(C21&gt;=10,"Medium Buyer","Small Buyer")))</f>
        <v>Small Buyer</v>
      </c>
      <c r="Q21" s="6" t="str">
        <f aca="false">IF(B21&gt;=15000,"Priority 1",IF(B21&gt;=10000,"Priority 2",IF(B21&gt;=5000,"Priority 3","Priority 4")))</f>
        <v>Priority 4</v>
      </c>
      <c r="R21" s="6" t="str">
        <f aca="false">IF(D21&gt;=15%,"Review Discount",IF(D21&gt;=10%,"Monitor",IF(D21&gt;=5%,"Acceptable","Low Discount")))</f>
        <v>Low Discount</v>
      </c>
      <c r="S21" s="6" t="str">
        <f aca="false">IF(E21&gt;=3,"Immediate Action",IF(E21=2,"Investigate",IF(E21=1,"Monitor","No Action")))</f>
        <v>Monitor</v>
      </c>
      <c r="T21" s="6" t="str">
        <f aca="false">IF(AND(B21&gt;=15000,C21&gt;=20),"Top Performer",IF(AND(B21&gt;=10000,C21&gt;=15),"Strong Performer","Regular Performer"))</f>
        <v>Regular Performer</v>
      </c>
      <c r="U21" s="6" t="str">
        <f aca="false">IF(OR(B21&gt;=15000,C21&gt;=20),"VIP Eligible",IF(OR(B21&gt;=10000,C21&gt;=15),"Eligible","Not Eligible"))</f>
        <v>Not Eligible</v>
      </c>
      <c r="V21" s="6" t="str">
        <f aca="false">IF(E21&gt;=3,"Critical Risk",IF(AND(E21&gt;=2,B21&lt;8000),"High Risk",IF(E21=1,"Medium Risk","Low Risk")))</f>
        <v>Medium Risk</v>
      </c>
      <c r="W21" s="6" t="str">
        <f aca="false">IF(B21&gt;=15000,"Reward",IF(B21&gt;=10000,"Appreciate",IF(B21&gt;=5000,"Coach","Train")))</f>
        <v>Train</v>
      </c>
      <c r="X21" s="6" t="str">
        <f aca="false">IF(AND(B21&gt;=15000,E21=0),"Excellent Customer",IF(AND(B21&gt;=10000,E21&lt;=1),"Good Customer",IF(B21&gt;=5000,"Regular Customer","Low Value Customer")))</f>
        <v>Low Value Customer</v>
      </c>
      <c r="Y21" s="6" t="str">
        <f aca="false">IF(AND(B21&gt;=15000,C21&gt;=20,E21=0),"VIP + Reward",IF(AND(B21&gt;=10000,C21&gt;=15),"Priority Customer",IF(OR(B21&gt;=5000,C21&gt;=10),"Normal Customer","Needs Attention")))</f>
        <v>Needs Attention</v>
      </c>
    </row>
    <row r="24" customFormat="false" ht="15" hidden="false" customHeight="false" outlineLevel="0" collapsed="false">
      <c r="A24" s="20" t="s">
        <v>201</v>
      </c>
    </row>
    <row r="25" customFormat="false" ht="15" hidden="false" customHeight="true" outlineLevel="0" collapsed="false">
      <c r="A25" s="5" t="s">
        <v>4</v>
      </c>
      <c r="B25" s="5" t="s">
        <v>202</v>
      </c>
      <c r="C25" s="48" t="s">
        <v>203</v>
      </c>
      <c r="D25" s="48"/>
      <c r="E25" s="48"/>
      <c r="F25" s="48"/>
      <c r="G25" s="48"/>
      <c r="H25" s="48"/>
      <c r="I25" s="48" t="s">
        <v>204</v>
      </c>
      <c r="J25" s="48"/>
      <c r="K25" s="48"/>
      <c r="L25" s="48"/>
      <c r="M25" s="48"/>
      <c r="N25" s="48"/>
      <c r="O25" s="48"/>
      <c r="P25" s="48"/>
      <c r="Q25" s="48"/>
    </row>
    <row r="26" customFormat="false" ht="18" hidden="false" customHeight="true" outlineLevel="0" collapsed="false">
      <c r="A26" s="49" t="n">
        <v>1</v>
      </c>
      <c r="B26" s="50" t="s">
        <v>249</v>
      </c>
      <c r="C26" s="49" t="s">
        <v>283</v>
      </c>
      <c r="D26" s="49"/>
      <c r="E26" s="49"/>
      <c r="F26" s="49"/>
      <c r="G26" s="49"/>
      <c r="H26" s="49"/>
      <c r="I26" s="49" t="s">
        <v>284</v>
      </c>
      <c r="J26" s="49"/>
      <c r="K26" s="49"/>
      <c r="L26" s="49"/>
      <c r="M26" s="49"/>
      <c r="N26" s="49"/>
      <c r="O26" s="49"/>
      <c r="P26" s="49"/>
      <c r="Q26" s="49"/>
    </row>
    <row r="27" customFormat="false" ht="18" hidden="false" customHeight="true" outlineLevel="0" collapsed="false">
      <c r="A27" s="51" t="n">
        <v>2</v>
      </c>
      <c r="B27" s="52" t="s">
        <v>164</v>
      </c>
      <c r="C27" s="51" t="s">
        <v>285</v>
      </c>
      <c r="D27" s="51"/>
      <c r="E27" s="51"/>
      <c r="F27" s="51"/>
      <c r="G27" s="51"/>
      <c r="H27" s="51"/>
      <c r="I27" s="51" t="s">
        <v>286</v>
      </c>
      <c r="J27" s="51"/>
      <c r="K27" s="51"/>
      <c r="L27" s="51"/>
      <c r="M27" s="51"/>
      <c r="N27" s="51"/>
      <c r="O27" s="51"/>
      <c r="P27" s="51"/>
      <c r="Q27" s="51"/>
    </row>
    <row r="28" customFormat="false" ht="30" hidden="false" customHeight="true" outlineLevel="0" collapsed="false">
      <c r="A28" s="49" t="n">
        <v>3</v>
      </c>
      <c r="B28" s="50" t="s">
        <v>250</v>
      </c>
      <c r="C28" s="49" t="s">
        <v>287</v>
      </c>
      <c r="D28" s="49"/>
      <c r="E28" s="49"/>
      <c r="F28" s="49"/>
      <c r="G28" s="49"/>
      <c r="H28" s="49"/>
      <c r="I28" s="49" t="s">
        <v>288</v>
      </c>
      <c r="J28" s="49"/>
      <c r="K28" s="49"/>
      <c r="L28" s="49"/>
      <c r="M28" s="49"/>
      <c r="N28" s="49"/>
      <c r="O28" s="49"/>
      <c r="P28" s="49"/>
      <c r="Q28" s="49"/>
    </row>
    <row r="29" customFormat="false" ht="18" hidden="false" customHeight="true" outlineLevel="0" collapsed="false">
      <c r="A29" s="51" t="n">
        <v>4</v>
      </c>
      <c r="B29" s="52" t="s">
        <v>251</v>
      </c>
      <c r="C29" s="51" t="s">
        <v>289</v>
      </c>
      <c r="D29" s="51"/>
      <c r="E29" s="51"/>
      <c r="F29" s="51"/>
      <c r="G29" s="51"/>
      <c r="H29" s="51"/>
      <c r="I29" s="51" t="s">
        <v>290</v>
      </c>
      <c r="J29" s="51"/>
      <c r="K29" s="51"/>
      <c r="L29" s="51"/>
      <c r="M29" s="51"/>
      <c r="N29" s="51"/>
      <c r="O29" s="51"/>
      <c r="P29" s="51"/>
      <c r="Q29" s="51"/>
    </row>
    <row r="30" customFormat="false" ht="30" hidden="false" customHeight="true" outlineLevel="0" collapsed="false">
      <c r="A30" s="49" t="n">
        <v>5</v>
      </c>
      <c r="B30" s="50" t="s">
        <v>252</v>
      </c>
      <c r="C30" s="49" t="s">
        <v>291</v>
      </c>
      <c r="D30" s="49"/>
      <c r="E30" s="49"/>
      <c r="F30" s="49"/>
      <c r="G30" s="49"/>
      <c r="H30" s="49"/>
      <c r="I30" s="49" t="s">
        <v>292</v>
      </c>
      <c r="J30" s="49"/>
      <c r="K30" s="49"/>
      <c r="L30" s="49"/>
      <c r="M30" s="49"/>
      <c r="N30" s="49"/>
      <c r="O30" s="49"/>
      <c r="P30" s="49"/>
      <c r="Q30" s="49"/>
    </row>
    <row r="31" customFormat="false" ht="18" hidden="false" customHeight="true" outlineLevel="0" collapsed="false">
      <c r="A31" s="51" t="n">
        <v>6</v>
      </c>
      <c r="B31" s="52" t="s">
        <v>253</v>
      </c>
      <c r="C31" s="51" t="s">
        <v>293</v>
      </c>
      <c r="D31" s="51"/>
      <c r="E31" s="51"/>
      <c r="F31" s="51"/>
      <c r="G31" s="51"/>
      <c r="H31" s="51"/>
      <c r="I31" s="51" t="s">
        <v>294</v>
      </c>
      <c r="J31" s="51"/>
      <c r="K31" s="51"/>
      <c r="L31" s="51"/>
      <c r="M31" s="51"/>
      <c r="N31" s="51"/>
      <c r="O31" s="51"/>
      <c r="P31" s="51"/>
      <c r="Q31" s="51"/>
    </row>
    <row r="32" customFormat="false" ht="18" hidden="false" customHeight="true" outlineLevel="0" collapsed="false">
      <c r="A32" s="49" t="n">
        <v>7</v>
      </c>
      <c r="B32" s="50" t="s">
        <v>254</v>
      </c>
      <c r="C32" s="49" t="s">
        <v>295</v>
      </c>
      <c r="D32" s="49"/>
      <c r="E32" s="49"/>
      <c r="F32" s="49"/>
      <c r="G32" s="49"/>
      <c r="H32" s="49"/>
      <c r="I32" s="49" t="s">
        <v>296</v>
      </c>
      <c r="J32" s="49"/>
      <c r="K32" s="49"/>
      <c r="L32" s="49"/>
      <c r="M32" s="49"/>
      <c r="N32" s="49"/>
      <c r="O32" s="49"/>
      <c r="P32" s="49"/>
      <c r="Q32" s="49"/>
    </row>
    <row r="33" customFormat="false" ht="30" hidden="false" customHeight="true" outlineLevel="0" collapsed="false">
      <c r="A33" s="51" t="n">
        <v>8</v>
      </c>
      <c r="B33" s="52" t="s">
        <v>255</v>
      </c>
      <c r="C33" s="51" t="s">
        <v>297</v>
      </c>
      <c r="D33" s="51"/>
      <c r="E33" s="51"/>
      <c r="F33" s="51"/>
      <c r="G33" s="51"/>
      <c r="H33" s="51"/>
      <c r="I33" s="51" t="s">
        <v>298</v>
      </c>
      <c r="J33" s="51"/>
      <c r="K33" s="51"/>
      <c r="L33" s="51"/>
      <c r="M33" s="51"/>
      <c r="N33" s="51"/>
      <c r="O33" s="51"/>
      <c r="P33" s="51"/>
      <c r="Q33" s="51"/>
    </row>
    <row r="34" customFormat="false" ht="18" hidden="false" customHeight="true" outlineLevel="0" collapsed="false">
      <c r="A34" s="49" t="n">
        <v>9</v>
      </c>
      <c r="B34" s="50" t="s">
        <v>256</v>
      </c>
      <c r="C34" s="49" t="s">
        <v>299</v>
      </c>
      <c r="D34" s="49"/>
      <c r="E34" s="49"/>
      <c r="F34" s="49"/>
      <c r="G34" s="49"/>
      <c r="H34" s="49"/>
      <c r="I34" s="49" t="s">
        <v>300</v>
      </c>
      <c r="J34" s="49"/>
      <c r="K34" s="49"/>
      <c r="L34" s="49"/>
      <c r="M34" s="49"/>
      <c r="N34" s="49"/>
      <c r="O34" s="49"/>
      <c r="P34" s="49"/>
      <c r="Q34" s="49"/>
    </row>
    <row r="35" customFormat="false" ht="18" hidden="false" customHeight="true" outlineLevel="0" collapsed="false">
      <c r="A35" s="51" t="n">
        <v>10</v>
      </c>
      <c r="B35" s="52" t="s">
        <v>257</v>
      </c>
      <c r="C35" s="51" t="s">
        <v>301</v>
      </c>
      <c r="D35" s="51"/>
      <c r="E35" s="51"/>
      <c r="F35" s="51"/>
      <c r="G35" s="51"/>
      <c r="H35" s="51"/>
      <c r="I35" s="51" t="s">
        <v>302</v>
      </c>
      <c r="J35" s="51"/>
      <c r="K35" s="51"/>
      <c r="L35" s="51"/>
      <c r="M35" s="51"/>
      <c r="N35" s="51"/>
      <c r="O35" s="51"/>
      <c r="P35" s="51"/>
      <c r="Q35" s="51"/>
    </row>
    <row r="36" customFormat="false" ht="30" hidden="false" customHeight="true" outlineLevel="0" collapsed="false">
      <c r="A36" s="49" t="n">
        <v>11</v>
      </c>
      <c r="B36" s="50" t="s">
        <v>258</v>
      </c>
      <c r="C36" s="49" t="s">
        <v>303</v>
      </c>
      <c r="D36" s="49"/>
      <c r="E36" s="49"/>
      <c r="F36" s="49"/>
      <c r="G36" s="49"/>
      <c r="H36" s="49"/>
      <c r="I36" s="49" t="s">
        <v>304</v>
      </c>
      <c r="J36" s="49"/>
      <c r="K36" s="49"/>
      <c r="L36" s="49"/>
      <c r="M36" s="49"/>
      <c r="N36" s="49"/>
      <c r="O36" s="49"/>
      <c r="P36" s="49"/>
      <c r="Q36" s="49"/>
    </row>
    <row r="37" customFormat="false" ht="30" hidden="false" customHeight="true" outlineLevel="0" collapsed="false">
      <c r="A37" s="51" t="n">
        <v>12</v>
      </c>
      <c r="B37" s="52" t="s">
        <v>259</v>
      </c>
      <c r="C37" s="51" t="s">
        <v>305</v>
      </c>
      <c r="D37" s="51"/>
      <c r="E37" s="51"/>
      <c r="F37" s="51"/>
      <c r="G37" s="51"/>
      <c r="H37" s="51"/>
      <c r="I37" s="51" t="s">
        <v>306</v>
      </c>
      <c r="J37" s="51"/>
      <c r="K37" s="51"/>
      <c r="L37" s="51"/>
      <c r="M37" s="51"/>
      <c r="N37" s="51"/>
      <c r="O37" s="51"/>
      <c r="P37" s="51"/>
      <c r="Q37" s="51"/>
    </row>
    <row r="38" customFormat="false" ht="30" hidden="false" customHeight="true" outlineLevel="0" collapsed="false">
      <c r="A38" s="49" t="n">
        <v>13</v>
      </c>
      <c r="B38" s="50" t="s">
        <v>260</v>
      </c>
      <c r="C38" s="49" t="s">
        <v>307</v>
      </c>
      <c r="D38" s="49"/>
      <c r="E38" s="49"/>
      <c r="F38" s="49"/>
      <c r="G38" s="49"/>
      <c r="H38" s="49"/>
      <c r="I38" s="49" t="s">
        <v>308</v>
      </c>
      <c r="J38" s="49"/>
      <c r="K38" s="49"/>
      <c r="L38" s="49"/>
      <c r="M38" s="49"/>
      <c r="N38" s="49"/>
      <c r="O38" s="49"/>
      <c r="P38" s="49"/>
      <c r="Q38" s="49"/>
    </row>
    <row r="39" customFormat="false" ht="18" hidden="false" customHeight="true" outlineLevel="0" collapsed="false">
      <c r="A39" s="51" t="n">
        <v>14</v>
      </c>
      <c r="B39" s="52" t="s">
        <v>261</v>
      </c>
      <c r="C39" s="51" t="s">
        <v>309</v>
      </c>
      <c r="D39" s="51"/>
      <c r="E39" s="51"/>
      <c r="F39" s="51"/>
      <c r="G39" s="51"/>
      <c r="H39" s="51"/>
      <c r="I39" s="51" t="s">
        <v>310</v>
      </c>
      <c r="J39" s="51"/>
      <c r="K39" s="51"/>
      <c r="L39" s="51"/>
      <c r="M39" s="51"/>
      <c r="N39" s="51"/>
      <c r="O39" s="51"/>
      <c r="P39" s="51"/>
      <c r="Q39" s="51"/>
    </row>
    <row r="40" customFormat="false" ht="30" hidden="false" customHeight="true" outlineLevel="0" collapsed="false">
      <c r="A40" s="49" t="n">
        <v>15</v>
      </c>
      <c r="B40" s="50" t="s">
        <v>262</v>
      </c>
      <c r="C40" s="49" t="s">
        <v>311</v>
      </c>
      <c r="D40" s="49"/>
      <c r="E40" s="49"/>
      <c r="F40" s="49"/>
      <c r="G40" s="49"/>
      <c r="H40" s="49"/>
      <c r="I40" s="49" t="s">
        <v>312</v>
      </c>
      <c r="J40" s="49"/>
      <c r="K40" s="49"/>
      <c r="L40" s="49"/>
      <c r="M40" s="49"/>
      <c r="N40" s="49"/>
      <c r="O40" s="49"/>
      <c r="P40" s="49"/>
      <c r="Q40" s="49"/>
    </row>
    <row r="41" customFormat="false" ht="30" hidden="false" customHeight="true" outlineLevel="0" collapsed="false">
      <c r="A41" s="51" t="n">
        <v>16</v>
      </c>
      <c r="B41" s="52" t="s">
        <v>263</v>
      </c>
      <c r="C41" s="51" t="s">
        <v>313</v>
      </c>
      <c r="D41" s="51"/>
      <c r="E41" s="51"/>
      <c r="F41" s="51"/>
      <c r="G41" s="51"/>
      <c r="H41" s="51"/>
      <c r="I41" s="51" t="s">
        <v>314</v>
      </c>
      <c r="J41" s="51"/>
      <c r="K41" s="51"/>
      <c r="L41" s="51"/>
      <c r="M41" s="51"/>
      <c r="N41" s="51"/>
      <c r="O41" s="51"/>
      <c r="P41" s="51"/>
      <c r="Q41" s="51"/>
    </row>
    <row r="42" customFormat="false" ht="30" hidden="false" customHeight="true" outlineLevel="0" collapsed="false">
      <c r="A42" s="49" t="n">
        <v>17</v>
      </c>
      <c r="B42" s="50" t="s">
        <v>264</v>
      </c>
      <c r="C42" s="49" t="s">
        <v>315</v>
      </c>
      <c r="D42" s="49"/>
      <c r="E42" s="49"/>
      <c r="F42" s="49"/>
      <c r="G42" s="49"/>
      <c r="H42" s="49"/>
      <c r="I42" s="49" t="s">
        <v>316</v>
      </c>
      <c r="J42" s="49"/>
      <c r="K42" s="49"/>
      <c r="L42" s="49"/>
      <c r="M42" s="49"/>
      <c r="N42" s="49"/>
      <c r="O42" s="49"/>
      <c r="P42" s="49"/>
      <c r="Q42" s="49"/>
    </row>
    <row r="43" customFormat="false" ht="18" hidden="false" customHeight="true" outlineLevel="0" collapsed="false">
      <c r="A43" s="51" t="n">
        <v>18</v>
      </c>
      <c r="B43" s="52" t="s">
        <v>265</v>
      </c>
      <c r="C43" s="51" t="s">
        <v>317</v>
      </c>
      <c r="D43" s="51"/>
      <c r="E43" s="51"/>
      <c r="F43" s="51"/>
      <c r="G43" s="51"/>
      <c r="H43" s="51"/>
      <c r="I43" s="51" t="s">
        <v>318</v>
      </c>
      <c r="J43" s="51"/>
      <c r="K43" s="51"/>
      <c r="L43" s="51"/>
      <c r="M43" s="51"/>
      <c r="N43" s="51"/>
      <c r="O43" s="51"/>
      <c r="P43" s="51"/>
      <c r="Q43" s="51"/>
    </row>
    <row r="44" customFormat="false" ht="30" hidden="false" customHeight="true" outlineLevel="0" collapsed="false">
      <c r="A44" s="49" t="n">
        <v>19</v>
      </c>
      <c r="B44" s="50" t="s">
        <v>266</v>
      </c>
      <c r="C44" s="49" t="s">
        <v>319</v>
      </c>
      <c r="D44" s="49"/>
      <c r="E44" s="49"/>
      <c r="F44" s="49"/>
      <c r="G44" s="49"/>
      <c r="H44" s="49"/>
      <c r="I44" s="49" t="s">
        <v>320</v>
      </c>
      <c r="J44" s="49"/>
      <c r="K44" s="49"/>
      <c r="L44" s="49"/>
      <c r="M44" s="49"/>
      <c r="N44" s="49"/>
      <c r="O44" s="49"/>
      <c r="P44" s="49"/>
      <c r="Q44" s="49"/>
    </row>
    <row r="45" customFormat="false" ht="30" hidden="false" customHeight="true" outlineLevel="0" collapsed="false">
      <c r="A45" s="51" t="n">
        <v>20</v>
      </c>
      <c r="B45" s="52" t="s">
        <v>267</v>
      </c>
      <c r="C45" s="51" t="s">
        <v>321</v>
      </c>
      <c r="D45" s="51"/>
      <c r="E45" s="51"/>
      <c r="F45" s="51"/>
      <c r="G45" s="51"/>
      <c r="H45" s="51"/>
      <c r="I45" s="51" t="s">
        <v>322</v>
      </c>
      <c r="J45" s="51"/>
      <c r="K45" s="51"/>
      <c r="L45" s="51"/>
      <c r="M45" s="51"/>
      <c r="N45" s="51"/>
      <c r="O45" s="51"/>
      <c r="P45" s="51"/>
      <c r="Q45" s="51"/>
    </row>
  </sheetData>
  <mergeCells count="42">
    <mergeCell ref="C25:H25"/>
    <mergeCell ref="I25:Q25"/>
    <mergeCell ref="C26:H26"/>
    <mergeCell ref="I26:Q26"/>
    <mergeCell ref="C27:H27"/>
    <mergeCell ref="I27:Q27"/>
    <mergeCell ref="C28:H28"/>
    <mergeCell ref="I28:Q28"/>
    <mergeCell ref="C29:H29"/>
    <mergeCell ref="I29:Q29"/>
    <mergeCell ref="C30:H30"/>
    <mergeCell ref="I30:Q30"/>
    <mergeCell ref="C31:H31"/>
    <mergeCell ref="I31:Q31"/>
    <mergeCell ref="C32:H32"/>
    <mergeCell ref="I32:Q32"/>
    <mergeCell ref="C33:H33"/>
    <mergeCell ref="I33:Q33"/>
    <mergeCell ref="C34:H34"/>
    <mergeCell ref="I34:Q34"/>
    <mergeCell ref="C35:H35"/>
    <mergeCell ref="I35:Q35"/>
    <mergeCell ref="C36:H36"/>
    <mergeCell ref="I36:Q36"/>
    <mergeCell ref="C37:H37"/>
    <mergeCell ref="I37:Q37"/>
    <mergeCell ref="C38:H38"/>
    <mergeCell ref="I38:Q38"/>
    <mergeCell ref="C39:H39"/>
    <mergeCell ref="I39:Q39"/>
    <mergeCell ref="C40:H40"/>
    <mergeCell ref="I40:Q40"/>
    <mergeCell ref="C41:H41"/>
    <mergeCell ref="I41:Q41"/>
    <mergeCell ref="C42:H42"/>
    <mergeCell ref="I42:Q42"/>
    <mergeCell ref="C43:H43"/>
    <mergeCell ref="I43:Q43"/>
    <mergeCell ref="C44:H44"/>
    <mergeCell ref="I44:Q44"/>
    <mergeCell ref="C45:H45"/>
    <mergeCell ref="I45:Q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true"/>
  </sheetPr>
  <dimension ref="A1:K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9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3"/>
    <col collapsed="false" customWidth="true" hidden="false" outlineLevel="0" max="7" min="7" style="0" width="4"/>
    <col collapsed="false" customWidth="true" hidden="false" outlineLevel="0" max="8" min="8" style="0" width="10"/>
    <col collapsed="false" customWidth="true" hidden="false" outlineLevel="0" max="9" min="9" style="0" width="40"/>
    <col collapsed="false" customWidth="true" hidden="false" outlineLevel="0" max="10" min="10" style="0" width="74"/>
    <col collapsed="false" customWidth="true" hidden="false" outlineLevel="0" max="11" min="11" style="0" width="11"/>
  </cols>
  <sheetData>
    <row r="1" customFormat="false" ht="24" hidden="false" customHeight="true" outlineLevel="0" collapsed="false">
      <c r="A1" s="13" t="s">
        <v>323</v>
      </c>
    </row>
    <row r="2" customFormat="false" ht="15" hidden="false" customHeight="false" outlineLevel="0" collapsed="false">
      <c r="A2" s="14" t="s">
        <v>324</v>
      </c>
    </row>
    <row r="3" customFormat="false" ht="15" hidden="false" customHeight="false" outlineLevel="0" collapsed="false">
      <c r="A3" s="15" t="s">
        <v>325</v>
      </c>
    </row>
    <row r="4" customFormat="false" ht="15" hidden="false" customHeight="false" outlineLevel="0" collapsed="false">
      <c r="A4" s="12" t="s">
        <v>39</v>
      </c>
    </row>
    <row r="6" customFormat="false" ht="15" hidden="false" customHeight="false" outlineLevel="0" collapsed="false">
      <c r="A6" s="5" t="s">
        <v>326</v>
      </c>
      <c r="B6" s="5" t="s">
        <v>55</v>
      </c>
      <c r="C6" s="5" t="s">
        <v>79</v>
      </c>
      <c r="D6" s="5" t="s">
        <v>47</v>
      </c>
      <c r="E6" s="5" t="s">
        <v>53</v>
      </c>
      <c r="G6" s="5" t="s">
        <v>4</v>
      </c>
      <c r="H6" s="5" t="s">
        <v>327</v>
      </c>
      <c r="I6" s="5" t="s">
        <v>328</v>
      </c>
      <c r="J6" s="5" t="s">
        <v>329</v>
      </c>
      <c r="K6" s="21" t="s">
        <v>330</v>
      </c>
    </row>
    <row r="7" customFormat="false" ht="15" hidden="false" customHeight="false" outlineLevel="0" collapsed="false">
      <c r="A7" s="6" t="s">
        <v>331</v>
      </c>
      <c r="B7" s="6" t="s">
        <v>61</v>
      </c>
      <c r="C7" s="6" t="s">
        <v>82</v>
      </c>
      <c r="D7" s="6" t="n">
        <v>5</v>
      </c>
      <c r="E7" s="22" t="n">
        <v>250000</v>
      </c>
      <c r="G7" s="6" t="n">
        <v>1</v>
      </c>
      <c r="H7" s="6" t="s">
        <v>332</v>
      </c>
      <c r="I7" s="6" t="s">
        <v>333</v>
      </c>
      <c r="J7" s="6" t="s">
        <v>334</v>
      </c>
      <c r="K7" s="53" t="n">
        <f aca="false">SUMIF($B$7:$B$16,"South",$E$7:$E$16)</f>
        <v>655000</v>
      </c>
    </row>
    <row r="8" customFormat="false" ht="15" hidden="false" customHeight="false" outlineLevel="0" collapsed="false">
      <c r="A8" s="8" t="s">
        <v>335</v>
      </c>
      <c r="B8" s="8" t="s">
        <v>63</v>
      </c>
      <c r="C8" s="8" t="s">
        <v>114</v>
      </c>
      <c r="D8" s="8" t="n">
        <v>10</v>
      </c>
      <c r="E8" s="24" t="n">
        <v>150000</v>
      </c>
      <c r="G8" s="8" t="n">
        <v>2</v>
      </c>
      <c r="H8" s="8" t="s">
        <v>332</v>
      </c>
      <c r="I8" s="8" t="s">
        <v>336</v>
      </c>
      <c r="J8" s="8" t="s">
        <v>337</v>
      </c>
      <c r="K8" s="54" t="n">
        <f aca="false">SUMIF($C$7:$C$16,"Mobile",$D$7:$D$16)</f>
        <v>39</v>
      </c>
    </row>
    <row r="9" customFormat="false" ht="15" hidden="false" customHeight="false" outlineLevel="0" collapsed="false">
      <c r="A9" s="6" t="s">
        <v>338</v>
      </c>
      <c r="B9" s="6" t="s">
        <v>61</v>
      </c>
      <c r="C9" s="6" t="s">
        <v>82</v>
      </c>
      <c r="D9" s="6" t="n">
        <v>3</v>
      </c>
      <c r="E9" s="22" t="n">
        <v>150000</v>
      </c>
      <c r="G9" s="6" t="n">
        <v>3</v>
      </c>
      <c r="H9" s="6" t="s">
        <v>332</v>
      </c>
      <c r="I9" s="6" t="s">
        <v>339</v>
      </c>
      <c r="J9" s="6" t="s">
        <v>340</v>
      </c>
      <c r="K9" s="53" t="n">
        <f aca="false">SUMIF($C$7:$C$16,"Laptop",$E$7:$E$16)</f>
        <v>700000</v>
      </c>
    </row>
    <row r="10" customFormat="false" ht="15" hidden="false" customHeight="false" outlineLevel="0" collapsed="false">
      <c r="A10" s="8" t="s">
        <v>341</v>
      </c>
      <c r="B10" s="8" t="s">
        <v>59</v>
      </c>
      <c r="C10" s="8" t="s">
        <v>118</v>
      </c>
      <c r="D10" s="8" t="n">
        <v>7</v>
      </c>
      <c r="E10" s="24" t="n">
        <v>140000</v>
      </c>
      <c r="G10" s="8" t="n">
        <v>4</v>
      </c>
      <c r="H10" s="8" t="s">
        <v>332</v>
      </c>
      <c r="I10" s="8" t="s">
        <v>342</v>
      </c>
      <c r="J10" s="8" t="s">
        <v>343</v>
      </c>
      <c r="K10" s="54" t="n">
        <f aca="false">SUMIF($B$7:$B$16,"North",$E$7:$E$16)</f>
        <v>350000</v>
      </c>
    </row>
    <row r="11" customFormat="false" ht="15" hidden="false" customHeight="false" outlineLevel="0" collapsed="false">
      <c r="A11" s="6" t="s">
        <v>344</v>
      </c>
      <c r="B11" s="6" t="s">
        <v>57</v>
      </c>
      <c r="C11" s="6" t="s">
        <v>114</v>
      </c>
      <c r="D11" s="6" t="n">
        <v>8</v>
      </c>
      <c r="E11" s="22" t="n">
        <v>120000</v>
      </c>
      <c r="G11" s="6" t="n">
        <v>5</v>
      </c>
      <c r="H11" s="6" t="s">
        <v>332</v>
      </c>
      <c r="I11" s="6" t="s">
        <v>345</v>
      </c>
      <c r="J11" s="6" t="s">
        <v>346</v>
      </c>
      <c r="K11" s="53" t="n">
        <f aca="false">SUMIF($B$7:$B$16,"East",$D$7:$D$16)</f>
        <v>19</v>
      </c>
    </row>
    <row r="12" customFormat="false" ht="15" hidden="false" customHeight="false" outlineLevel="0" collapsed="false">
      <c r="A12" s="8" t="s">
        <v>347</v>
      </c>
      <c r="B12" s="8" t="s">
        <v>61</v>
      </c>
      <c r="C12" s="8" t="s">
        <v>118</v>
      </c>
      <c r="D12" s="8" t="n">
        <v>6</v>
      </c>
      <c r="E12" s="24" t="n">
        <v>120000</v>
      </c>
      <c r="G12" s="8" t="n">
        <v>6</v>
      </c>
      <c r="H12" s="8" t="s">
        <v>332</v>
      </c>
      <c r="I12" s="8" t="s">
        <v>348</v>
      </c>
      <c r="J12" s="8" t="s">
        <v>349</v>
      </c>
      <c r="K12" s="54" t="n">
        <f aca="false">SUMIF($E$7:$E$16,"&gt;150000")</f>
        <v>630000</v>
      </c>
    </row>
    <row r="13" customFormat="false" ht="15" hidden="false" customHeight="false" outlineLevel="0" collapsed="false">
      <c r="A13" s="6" t="s">
        <v>350</v>
      </c>
      <c r="B13" s="6" t="s">
        <v>63</v>
      </c>
      <c r="C13" s="6" t="s">
        <v>82</v>
      </c>
      <c r="D13" s="6" t="n">
        <v>4</v>
      </c>
      <c r="E13" s="22" t="n">
        <v>200000</v>
      </c>
      <c r="G13" s="6" t="n">
        <v>7</v>
      </c>
      <c r="H13" s="6" t="s">
        <v>332</v>
      </c>
      <c r="I13" s="6" t="s">
        <v>351</v>
      </c>
      <c r="J13" s="6" t="s">
        <v>352</v>
      </c>
      <c r="K13" s="53" t="n">
        <f aca="false">SUMIF($D$7:$D$16,"&gt;=8")</f>
        <v>39</v>
      </c>
    </row>
    <row r="14" customFormat="false" ht="15" hidden="false" customHeight="false" outlineLevel="0" collapsed="false">
      <c r="A14" s="8" t="s">
        <v>353</v>
      </c>
      <c r="B14" s="8" t="s">
        <v>59</v>
      </c>
      <c r="C14" s="8" t="s">
        <v>114</v>
      </c>
      <c r="D14" s="8" t="n">
        <v>12</v>
      </c>
      <c r="E14" s="24" t="n">
        <v>180000</v>
      </c>
      <c r="G14" s="8" t="n">
        <v>8</v>
      </c>
      <c r="H14" s="8" t="s">
        <v>332</v>
      </c>
      <c r="I14" s="8" t="s">
        <v>354</v>
      </c>
      <c r="J14" s="8" t="s">
        <v>355</v>
      </c>
      <c r="K14" s="54" t="n">
        <f aca="false">SUMIF($C$7:$C$16,"&lt;&gt;Mobile",$E$7:$E$16)</f>
        <v>960000</v>
      </c>
    </row>
    <row r="15" customFormat="false" ht="15" hidden="false" customHeight="false" outlineLevel="0" collapsed="false">
      <c r="A15" s="6" t="s">
        <v>356</v>
      </c>
      <c r="B15" s="6" t="s">
        <v>57</v>
      </c>
      <c r="C15" s="6" t="s">
        <v>82</v>
      </c>
      <c r="D15" s="6" t="n">
        <v>2</v>
      </c>
      <c r="E15" s="22" t="n">
        <v>100000</v>
      </c>
      <c r="G15" s="6" t="n">
        <v>9</v>
      </c>
      <c r="H15" s="6" t="s">
        <v>332</v>
      </c>
      <c r="I15" s="6" t="s">
        <v>357</v>
      </c>
      <c r="J15" s="6" t="s">
        <v>358</v>
      </c>
      <c r="K15" s="53" t="n">
        <f aca="false">SUMIF($A$7:$A$16,"Saranya",$E$7:$E$16)</f>
        <v>250000</v>
      </c>
    </row>
    <row r="16" customFormat="false" ht="15" hidden="false" customHeight="false" outlineLevel="0" collapsed="false">
      <c r="A16" s="8" t="s">
        <v>359</v>
      </c>
      <c r="B16" s="8" t="s">
        <v>61</v>
      </c>
      <c r="C16" s="8" t="s">
        <v>114</v>
      </c>
      <c r="D16" s="8" t="n">
        <v>9</v>
      </c>
      <c r="E16" s="24" t="n">
        <v>135000</v>
      </c>
      <c r="G16" s="8" t="n">
        <v>10</v>
      </c>
      <c r="H16" s="8" t="s">
        <v>360</v>
      </c>
      <c r="I16" s="8" t="s">
        <v>361</v>
      </c>
      <c r="J16" s="8" t="s">
        <v>362</v>
      </c>
      <c r="K16" s="54" t="n">
        <f aca="false">COUNTIF($B$7:$B$16,"South")</f>
        <v>4</v>
      </c>
    </row>
    <row r="17" customFormat="false" ht="15" hidden="false" customHeight="false" outlineLevel="0" collapsed="false">
      <c r="G17" s="6" t="n">
        <v>11</v>
      </c>
      <c r="H17" s="6" t="s">
        <v>360</v>
      </c>
      <c r="I17" s="6" t="s">
        <v>363</v>
      </c>
      <c r="J17" s="6" t="s">
        <v>364</v>
      </c>
      <c r="K17" s="53" t="n">
        <f aca="false">COUNTIF($C$7:$C$16,"Laptop")</f>
        <v>4</v>
      </c>
    </row>
    <row r="18" customFormat="false" ht="15" hidden="false" customHeight="false" outlineLevel="0" collapsed="false">
      <c r="G18" s="8" t="n">
        <v>12</v>
      </c>
      <c r="H18" s="8" t="s">
        <v>360</v>
      </c>
      <c r="I18" s="8" t="s">
        <v>365</v>
      </c>
      <c r="J18" s="8" t="s">
        <v>366</v>
      </c>
      <c r="K18" s="54" t="n">
        <f aca="false">COUNTIF($C$7:$C$16,"Mobile")</f>
        <v>4</v>
      </c>
    </row>
    <row r="19" customFormat="false" ht="15" hidden="false" customHeight="false" outlineLevel="0" collapsed="false">
      <c r="G19" s="6" t="n">
        <v>13</v>
      </c>
      <c r="H19" s="6" t="s">
        <v>360</v>
      </c>
      <c r="I19" s="6" t="s">
        <v>367</v>
      </c>
      <c r="J19" s="6" t="s">
        <v>368</v>
      </c>
      <c r="K19" s="53" t="n">
        <f aca="false">COUNTIF($D$7:$D$16,"&gt;5")</f>
        <v>6</v>
      </c>
    </row>
    <row r="20" customFormat="false" ht="15" hidden="false" customHeight="false" outlineLevel="0" collapsed="false">
      <c r="G20" s="8" t="n">
        <v>14</v>
      </c>
      <c r="H20" s="8" t="s">
        <v>360</v>
      </c>
      <c r="I20" s="8" t="s">
        <v>369</v>
      </c>
      <c r="J20" s="8" t="s">
        <v>370</v>
      </c>
      <c r="K20" s="54" t="n">
        <f aca="false">COUNTIF($D$7:$D$16,"&gt;=8")</f>
        <v>4</v>
      </c>
    </row>
    <row r="21" customFormat="false" ht="15" hidden="false" customHeight="false" outlineLevel="0" collapsed="false">
      <c r="G21" s="6" t="n">
        <v>15</v>
      </c>
      <c r="H21" s="6" t="s">
        <v>360</v>
      </c>
      <c r="I21" s="6" t="s">
        <v>371</v>
      </c>
      <c r="J21" s="6" t="s">
        <v>372</v>
      </c>
      <c r="K21" s="53" t="n">
        <f aca="false">COUNTIF($E$7:$E$16,"&lt;150000")</f>
        <v>5</v>
      </c>
    </row>
    <row r="22" customFormat="false" ht="15" hidden="false" customHeight="false" outlineLevel="0" collapsed="false">
      <c r="G22" s="8" t="n">
        <v>16</v>
      </c>
      <c r="H22" s="8" t="s">
        <v>360</v>
      </c>
      <c r="I22" s="8" t="s">
        <v>373</v>
      </c>
      <c r="J22" s="8" t="s">
        <v>374</v>
      </c>
      <c r="K22" s="54" t="n">
        <f aca="false">COUNTIF($E$7:$E$16,"&gt;=200000")</f>
        <v>2</v>
      </c>
    </row>
    <row r="23" customFormat="false" ht="15" hidden="false" customHeight="false" outlineLevel="0" collapsed="false">
      <c r="G23" s="6" t="n">
        <v>17</v>
      </c>
      <c r="H23" s="6" t="s">
        <v>360</v>
      </c>
      <c r="I23" s="6" t="s">
        <v>375</v>
      </c>
      <c r="J23" s="6" t="s">
        <v>376</v>
      </c>
      <c r="K23" s="53" t="n">
        <f aca="false">COUNTIF($B$7:$B$16,"&lt;&gt;South")</f>
        <v>6</v>
      </c>
    </row>
    <row r="24" customFormat="false" ht="15" hidden="false" customHeight="false" outlineLevel="0" collapsed="false">
      <c r="G24" s="8" t="n">
        <v>18</v>
      </c>
      <c r="H24" s="8" t="s">
        <v>360</v>
      </c>
      <c r="I24" s="8" t="s">
        <v>377</v>
      </c>
      <c r="J24" s="8" t="s">
        <v>378</v>
      </c>
      <c r="K24" s="54" t="n">
        <f aca="false">COUNTIF($A$7:$A$16,"Sarath")</f>
        <v>1</v>
      </c>
    </row>
    <row r="25" customFormat="false" ht="15" hidden="false" customHeight="false" outlineLevel="0" collapsed="false">
      <c r="G25" s="6" t="n">
        <v>19</v>
      </c>
      <c r="H25" s="6" t="s">
        <v>379</v>
      </c>
      <c r="I25" s="6" t="s">
        <v>380</v>
      </c>
      <c r="J25" s="6" t="s">
        <v>381</v>
      </c>
      <c r="K25" s="53" t="n">
        <f aca="false">SUMIFS($E$7:$E$16,$B$7:$B$16,"South",$C$7:$C$16,"Mobile")</f>
        <v>135000</v>
      </c>
    </row>
    <row r="26" customFormat="false" ht="15" hidden="false" customHeight="false" outlineLevel="0" collapsed="false">
      <c r="G26" s="8" t="n">
        <v>20</v>
      </c>
      <c r="H26" s="8" t="s">
        <v>379</v>
      </c>
      <c r="I26" s="8" t="s">
        <v>382</v>
      </c>
      <c r="J26" s="8" t="s">
        <v>383</v>
      </c>
      <c r="K26" s="54" t="n">
        <f aca="false">SUMIFS($E$7:$E$16,$B$7:$B$16,"South",$C$7:$C$16,"Laptop")</f>
        <v>400000</v>
      </c>
    </row>
    <row r="27" customFormat="false" ht="15" hidden="false" customHeight="false" outlineLevel="0" collapsed="false">
      <c r="G27" s="6" t="n">
        <v>21</v>
      </c>
      <c r="H27" s="6" t="s">
        <v>379</v>
      </c>
      <c r="I27" s="6" t="s">
        <v>384</v>
      </c>
      <c r="J27" s="6" t="s">
        <v>385</v>
      </c>
      <c r="K27" s="53" t="n">
        <f aca="false">SUMIFS($E$7:$E$16,$C$7:$C$16,"Mobile",$D$7:$D$16,"&gt;=8")</f>
        <v>585000</v>
      </c>
    </row>
    <row r="28" customFormat="false" ht="15" hidden="false" customHeight="false" outlineLevel="0" collapsed="false">
      <c r="G28" s="8" t="n">
        <v>22</v>
      </c>
      <c r="H28" s="8" t="s">
        <v>379</v>
      </c>
      <c r="I28" s="8" t="s">
        <v>386</v>
      </c>
      <c r="J28" s="8" t="s">
        <v>387</v>
      </c>
      <c r="K28" s="54" t="n">
        <f aca="false">SUMIFS($D$7:$D$16,$B$7:$B$16,"North",$E$7:$E$16,"&gt;=150000")</f>
        <v>14</v>
      </c>
    </row>
    <row r="29" customFormat="false" ht="15" hidden="false" customHeight="false" outlineLevel="0" collapsed="false">
      <c r="G29" s="6" t="n">
        <v>23</v>
      </c>
      <c r="H29" s="6" t="s">
        <v>379</v>
      </c>
      <c r="I29" s="6" t="s">
        <v>388</v>
      </c>
      <c r="J29" s="6" t="s">
        <v>389</v>
      </c>
      <c r="K29" s="53" t="n">
        <f aca="false">SUMIF($B$7:$B$16,"East",$E$7:$E$16)+SUMIF($B$7:$B$16,"West",$E$7:$E$16)</f>
        <v>540000</v>
      </c>
    </row>
    <row r="30" customFormat="false" ht="15" hidden="false" customHeight="false" outlineLevel="0" collapsed="false">
      <c r="G30" s="8" t="n">
        <v>24</v>
      </c>
      <c r="H30" s="8" t="s">
        <v>379</v>
      </c>
      <c r="I30" s="8" t="s">
        <v>390</v>
      </c>
      <c r="J30" s="8" t="s">
        <v>391</v>
      </c>
      <c r="K30" s="54" t="n">
        <f aca="false">SUMIFS($E$7:$E$16,$B$7:$B$16,"South",$C$7:$C$16,"&lt;&gt;Tablet")</f>
        <v>535000</v>
      </c>
    </row>
    <row r="31" customFormat="false" ht="15" hidden="false" customHeight="false" outlineLevel="0" collapsed="false">
      <c r="G31" s="6" t="n">
        <v>25</v>
      </c>
      <c r="H31" s="6" t="s">
        <v>392</v>
      </c>
      <c r="I31" s="6" t="s">
        <v>393</v>
      </c>
      <c r="J31" s="6" t="s">
        <v>394</v>
      </c>
      <c r="K31" s="53" t="n">
        <f aca="false">COUNTIFS($C$7:$C$16,"Laptop",$B$7:$B$16,"North")</f>
        <v>1</v>
      </c>
    </row>
    <row r="32" customFormat="false" ht="15" hidden="false" customHeight="false" outlineLevel="0" collapsed="false">
      <c r="G32" s="8" t="n">
        <v>26</v>
      </c>
      <c r="H32" s="8" t="s">
        <v>392</v>
      </c>
      <c r="I32" s="8" t="s">
        <v>395</v>
      </c>
      <c r="J32" s="8" t="s">
        <v>396</v>
      </c>
      <c r="K32" s="54" t="n">
        <f aca="false">COUNTIFS($B$7:$B$16,"South",$C$7:$C$16,"Mobile")</f>
        <v>1</v>
      </c>
    </row>
    <row r="33" customFormat="false" ht="15" hidden="false" customHeight="false" outlineLevel="0" collapsed="false">
      <c r="G33" s="6" t="n">
        <v>27</v>
      </c>
      <c r="H33" s="6" t="s">
        <v>392</v>
      </c>
      <c r="I33" s="6" t="s">
        <v>397</v>
      </c>
      <c r="J33" s="6" t="s">
        <v>398</v>
      </c>
      <c r="K33" s="53" t="n">
        <f aca="false">COUNTIFS($D$7:$D$16,"&gt;=8",$E$7:$E$16,"&gt;=150000")</f>
        <v>2</v>
      </c>
    </row>
    <row r="34" customFormat="false" ht="15" hidden="false" customHeight="false" outlineLevel="0" collapsed="false">
      <c r="G34" s="8" t="n">
        <v>28</v>
      </c>
      <c r="H34" s="8" t="s">
        <v>392</v>
      </c>
      <c r="I34" s="8" t="s">
        <v>399</v>
      </c>
      <c r="J34" s="8" t="s">
        <v>400</v>
      </c>
      <c r="K34" s="54" t="n">
        <f aca="false">COUNTIFS($B$7:$B$16,"&lt;&gt;South",$C$7:$C$16,"Mobile")</f>
        <v>3</v>
      </c>
    </row>
    <row r="35" customFormat="false" ht="15" hidden="false" customHeight="false" outlineLevel="0" collapsed="false">
      <c r="G35" s="6" t="n">
        <v>29</v>
      </c>
      <c r="H35" s="6" t="s">
        <v>392</v>
      </c>
      <c r="I35" s="6" t="s">
        <v>401</v>
      </c>
      <c r="J35" s="6" t="s">
        <v>402</v>
      </c>
      <c r="K35" s="53" t="n">
        <f aca="false">COUNTIFS($D$7:$D$16,"&lt;5",$E$7:$E$16,"&lt;200000")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true"/>
  </sheetPr>
  <dimension ref="A1:Z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17" min="4" style="0" width="15"/>
    <col collapsed="false" customWidth="true" hidden="false" outlineLevel="0" max="18" min="18" style="0" width="34"/>
    <col collapsed="false" customWidth="true" hidden="false" outlineLevel="0" max="26" min="19" style="0" width="15"/>
  </cols>
  <sheetData>
    <row r="1" customFormat="false" ht="24" hidden="false" customHeight="true" outlineLevel="0" collapsed="false">
      <c r="A1" s="13" t="s">
        <v>403</v>
      </c>
    </row>
    <row r="2" customFormat="false" ht="15" hidden="false" customHeight="false" outlineLevel="0" collapsed="false">
      <c r="A2" s="14" t="s">
        <v>404</v>
      </c>
    </row>
    <row r="3" customFormat="false" ht="15" hidden="false" customHeight="false" outlineLevel="0" collapsed="false">
      <c r="A3" s="15" t="s">
        <v>405</v>
      </c>
    </row>
    <row r="4" customFormat="false" ht="15" hidden="false" customHeight="false" outlineLevel="0" collapsed="false">
      <c r="A4" s="12" t="s">
        <v>39</v>
      </c>
    </row>
    <row r="6" customFormat="false" ht="30" hidden="false" customHeight="true" outlineLevel="0" collapsed="false">
      <c r="A6" s="5" t="s">
        <v>406</v>
      </c>
      <c r="B6" s="5" t="s">
        <v>407</v>
      </c>
      <c r="C6" s="5" t="s">
        <v>408</v>
      </c>
      <c r="D6" s="5" t="s">
        <v>409</v>
      </c>
      <c r="E6" s="5" t="s">
        <v>410</v>
      </c>
      <c r="F6" s="5" t="s">
        <v>411</v>
      </c>
      <c r="G6" s="5" t="s">
        <v>412</v>
      </c>
      <c r="H6" s="5" t="s">
        <v>53</v>
      </c>
      <c r="I6" s="5" t="s">
        <v>413</v>
      </c>
      <c r="J6" s="21" t="s">
        <v>414</v>
      </c>
      <c r="K6" s="21" t="s">
        <v>415</v>
      </c>
      <c r="L6" s="21" t="s">
        <v>416</v>
      </c>
      <c r="M6" s="21" t="s">
        <v>417</v>
      </c>
      <c r="N6" s="21" t="s">
        <v>418</v>
      </c>
      <c r="O6" s="21" t="s">
        <v>419</v>
      </c>
      <c r="P6" s="21" t="s">
        <v>420</v>
      </c>
      <c r="Q6" s="21" t="s">
        <v>421</v>
      </c>
      <c r="R6" s="21" t="s">
        <v>422</v>
      </c>
      <c r="S6" s="21" t="s">
        <v>423</v>
      </c>
      <c r="T6" s="21" t="s">
        <v>424</v>
      </c>
      <c r="U6" s="21" t="s">
        <v>425</v>
      </c>
      <c r="V6" s="21" t="s">
        <v>426</v>
      </c>
      <c r="W6" s="21" t="s">
        <v>427</v>
      </c>
      <c r="X6" s="21" t="s">
        <v>428</v>
      </c>
      <c r="Y6" s="21" t="s">
        <v>429</v>
      </c>
      <c r="Z6" s="21" t="s">
        <v>430</v>
      </c>
    </row>
    <row r="7" customFormat="false" ht="15" hidden="false" customHeight="false" outlineLevel="0" collapsed="false">
      <c r="A7" s="6" t="s">
        <v>431</v>
      </c>
      <c r="B7" s="6" t="s">
        <v>432</v>
      </c>
      <c r="C7" s="6" t="s">
        <v>433</v>
      </c>
      <c r="D7" s="6" t="s">
        <v>434</v>
      </c>
      <c r="E7" s="6" t="s">
        <v>435</v>
      </c>
      <c r="F7" s="55" t="n">
        <v>46270</v>
      </c>
      <c r="G7" s="55" t="n">
        <v>45301</v>
      </c>
      <c r="H7" s="22" t="n">
        <v>75000</v>
      </c>
      <c r="I7" s="6" t="s">
        <v>436</v>
      </c>
      <c r="J7" s="6" t="str">
        <f aca="false">PROPER(TRIM(B7))</f>
        <v>Ravi Kumar</v>
      </c>
      <c r="K7" s="6" t="str">
        <f aca="false">LOWER(TRIM(C7))</f>
        <v>ravi@gmail.com</v>
      </c>
      <c r="L7" s="6" t="str">
        <f aca="false">UPPER(C7)</f>
        <v>RAVI@GMAIL.COM</v>
      </c>
      <c r="M7" s="6" t="str">
        <f aca="false">LEFT(D7,3)</f>
        <v>HYD</v>
      </c>
      <c r="N7" s="6" t="str">
        <f aca="false">RIGHT(D7,3)</f>
        <v>001</v>
      </c>
      <c r="O7" s="6" t="str">
        <f aca="false">MID(E7,FIND("-",E7)+1,FIND("-",E7,FIND("-",E7)+1)-FIND("-",E7)-1)</f>
        <v>LAP</v>
      </c>
      <c r="P7" s="6" t="n">
        <f aca="false">LEN(A7)</f>
        <v>4</v>
      </c>
      <c r="Q7" s="6" t="str">
        <f aca="false">A7&amp;"_"&amp;LEFT(D7,3)</f>
        <v>C001_HYD</v>
      </c>
      <c r="R7" s="6" t="str">
        <f aca="false">_xlfn.TEXTJOIN(" | ",TRUE(),PROPER(TRIM(B7)),D7,E7)</f>
        <v>Ravi Kumar | HYD001 | ELEC-LAP-001</v>
      </c>
      <c r="S7" s="6" t="n">
        <f aca="false">FIND("@",C7)</f>
        <v>5</v>
      </c>
      <c r="T7" s="6" t="str">
        <f aca="false">IF(ISNUMBER(SEARCH("gmail",C7)),"Yes","No")</f>
        <v>Yes</v>
      </c>
      <c r="U7" s="6" t="str">
        <f aca="false">SUBSTITUTE(E7,"-","/")</f>
        <v>ELEC/LAP/001</v>
      </c>
      <c r="V7" s="6" t="str">
        <f aca="false">REPLACE(A7,1,1,"CUS")</f>
        <v>CUS001</v>
      </c>
      <c r="W7" s="6" t="str">
        <f aca="false">TEXT(F7,"dd-mmm-yyyy")</f>
        <v>05-Sep-2026</v>
      </c>
      <c r="X7" s="43" t="b">
        <f aca="false">EXACT(C7,UPPER(C7))</f>
        <v>1</v>
      </c>
      <c r="Y7" s="6" t="str">
        <f aca="false">LEFT(C7,FIND("@",C7)-1)</f>
        <v>RAVI</v>
      </c>
      <c r="Z7" s="6" t="str">
        <f aca="false">RIGHT(C7,LEN(C7)-FIND("@",C7))</f>
        <v>GMAIL.COM</v>
      </c>
    </row>
    <row r="8" customFormat="false" ht="15" hidden="false" customHeight="false" outlineLevel="0" collapsed="false">
      <c r="A8" s="8" t="s">
        <v>437</v>
      </c>
      <c r="B8" s="8" t="s">
        <v>438</v>
      </c>
      <c r="C8" s="8" t="s">
        <v>439</v>
      </c>
      <c r="D8" s="8" t="s">
        <v>440</v>
      </c>
      <c r="E8" s="8" t="s">
        <v>441</v>
      </c>
      <c r="F8" s="56" t="n">
        <v>46272</v>
      </c>
      <c r="G8" s="56" t="n">
        <v>45731</v>
      </c>
      <c r="H8" s="24" t="n">
        <v>45000</v>
      </c>
      <c r="I8" s="8" t="s">
        <v>436</v>
      </c>
      <c r="J8" s="8" t="str">
        <f aca="false">PROPER(TRIM(B8))</f>
        <v>Anitha Rao</v>
      </c>
      <c r="K8" s="8" t="str">
        <f aca="false">LOWER(TRIM(C8))</f>
        <v>anitha@gmail.com</v>
      </c>
      <c r="L8" s="8" t="str">
        <f aca="false">UPPER(C8)</f>
        <v>ANITHA@GMAIL.COM</v>
      </c>
      <c r="M8" s="8" t="str">
        <f aca="false">LEFT(D8,3)</f>
        <v>BLR</v>
      </c>
      <c r="N8" s="8" t="str">
        <f aca="false">RIGHT(D8,3)</f>
        <v>002</v>
      </c>
      <c r="O8" s="8" t="str">
        <f aca="false">MID(E8,FIND("-",E8)+1,FIND("-",E8,FIND("-",E8)+1)-FIND("-",E8)-1)</f>
        <v>SOF</v>
      </c>
      <c r="P8" s="8" t="n">
        <f aca="false">LEN(A8)</f>
        <v>4</v>
      </c>
      <c r="Q8" s="8" t="str">
        <f aca="false">A8&amp;"_"&amp;LEFT(D8,3)</f>
        <v>C002_BLR</v>
      </c>
      <c r="R8" s="8" t="str">
        <f aca="false">_xlfn.TEXTJOIN(" | ",TRUE(),PROPER(TRIM(B8)),D8,E8)</f>
        <v>Anitha Rao | BLR002 | HOME-SOF-002</v>
      </c>
      <c r="S8" s="8" t="n">
        <f aca="false">FIND("@",C8)</f>
        <v>7</v>
      </c>
      <c r="T8" s="8" t="str">
        <f aca="false">IF(ISNUMBER(SEARCH("gmail",C8)),"Yes","No")</f>
        <v>Yes</v>
      </c>
      <c r="U8" s="8" t="str">
        <f aca="false">SUBSTITUTE(E8,"-","/")</f>
        <v>HOME/SOF/002</v>
      </c>
      <c r="V8" s="8" t="str">
        <f aca="false">REPLACE(A8,1,1,"CUS")</f>
        <v>CUS002</v>
      </c>
      <c r="W8" s="8" t="str">
        <f aca="false">TEXT(F8,"dd-mmm-yyyy")</f>
        <v>07-Sep-2026</v>
      </c>
      <c r="X8" s="44" t="b">
        <f aca="false">EXACT(C8,UPPER(C8))</f>
        <v>0</v>
      </c>
      <c r="Y8" s="8" t="str">
        <f aca="false">LEFT(C8,FIND("@",C8)-1)</f>
        <v>anitha</v>
      </c>
      <c r="Z8" s="8" t="str">
        <f aca="false">RIGHT(C8,LEN(C8)-FIND("@",C8))</f>
        <v>gmail.com</v>
      </c>
    </row>
    <row r="9" customFormat="false" ht="15" hidden="false" customHeight="false" outlineLevel="0" collapsed="false">
      <c r="A9" s="6" t="s">
        <v>442</v>
      </c>
      <c r="B9" s="6" t="s">
        <v>443</v>
      </c>
      <c r="C9" s="6" t="s">
        <v>444</v>
      </c>
      <c r="D9" s="6" t="s">
        <v>445</v>
      </c>
      <c r="E9" s="6" t="s">
        <v>446</v>
      </c>
      <c r="F9" s="55" t="n">
        <v>46275</v>
      </c>
      <c r="G9" s="55" t="n">
        <v>45828</v>
      </c>
      <c r="H9" s="22" t="n">
        <v>8500</v>
      </c>
      <c r="I9" s="6" t="s">
        <v>447</v>
      </c>
      <c r="J9" s="6" t="str">
        <f aca="false">PROPER(TRIM(B9))</f>
        <v>Ram Prasad</v>
      </c>
      <c r="K9" s="6" t="str">
        <f aca="false">LOWER(TRIM(C9))</f>
        <v>ram@yahoo.com</v>
      </c>
      <c r="L9" s="6" t="str">
        <f aca="false">UPPER(C9)</f>
        <v>RAM@YAHOO.COM</v>
      </c>
      <c r="M9" s="6" t="str">
        <f aca="false">LEFT(D9,3)</f>
        <v>VIZ</v>
      </c>
      <c r="N9" s="6" t="str">
        <f aca="false">RIGHT(D9,3)</f>
        <v>003</v>
      </c>
      <c r="O9" s="6" t="str">
        <f aca="false">MID(E9,FIND("-",E9)+1,FIND("-",E9,FIND("-",E9)+1)-FIND("-",E9)-1)</f>
        <v>TOY</v>
      </c>
      <c r="P9" s="6" t="n">
        <f aca="false">LEN(A9)</f>
        <v>4</v>
      </c>
      <c r="Q9" s="6" t="str">
        <f aca="false">A9&amp;"_"&amp;LEFT(D9,3)</f>
        <v>C003_VIZ</v>
      </c>
      <c r="R9" s="6" t="str">
        <f aca="false">_xlfn.TEXTJOIN(" | ",TRUE(),PROPER(TRIM(B9)),D9,E9)</f>
        <v>Ram Prasad | VIZ003 | BABY-TOY-003</v>
      </c>
      <c r="S9" s="6" t="n">
        <f aca="false">FIND("@",C9)</f>
        <v>4</v>
      </c>
      <c r="T9" s="6" t="str">
        <f aca="false">IF(ISNUMBER(SEARCH("gmail",C9)),"Yes","No")</f>
        <v>No</v>
      </c>
      <c r="U9" s="6" t="str">
        <f aca="false">SUBSTITUTE(E9,"-","/")</f>
        <v>BABY/TOY/003</v>
      </c>
      <c r="V9" s="6" t="str">
        <f aca="false">REPLACE(A9,1,1,"CUS")</f>
        <v>CUS003</v>
      </c>
      <c r="W9" s="6" t="str">
        <f aca="false">TEXT(F9,"dd-mmm-yyyy")</f>
        <v>10-Sep-2026</v>
      </c>
      <c r="X9" s="43" t="b">
        <f aca="false">EXACT(C9,UPPER(C9))</f>
        <v>1</v>
      </c>
      <c r="Y9" s="6" t="str">
        <f aca="false">LEFT(C9,FIND("@",C9)-1)</f>
        <v>RAM</v>
      </c>
      <c r="Z9" s="6" t="str">
        <f aca="false">RIGHT(C9,LEN(C9)-FIND("@",C9))</f>
        <v>YAHOO.COM</v>
      </c>
    </row>
    <row r="10" customFormat="false" ht="15" hidden="false" customHeight="false" outlineLevel="0" collapsed="false">
      <c r="A10" s="8" t="s">
        <v>448</v>
      </c>
      <c r="B10" s="8" t="s">
        <v>449</v>
      </c>
      <c r="C10" s="8" t="s">
        <v>450</v>
      </c>
      <c r="D10" s="8" t="s">
        <v>451</v>
      </c>
      <c r="E10" s="8" t="s">
        <v>452</v>
      </c>
      <c r="F10" s="56" t="n">
        <v>46277</v>
      </c>
      <c r="G10" s="56" t="n">
        <v>44962</v>
      </c>
      <c r="H10" s="24" t="n">
        <v>30000</v>
      </c>
      <c r="I10" s="8" t="s">
        <v>436</v>
      </c>
      <c r="J10" s="8" t="str">
        <f aca="false">PROPER(TRIM(B10))</f>
        <v>Priya Reddy</v>
      </c>
      <c r="K10" s="8" t="str">
        <f aca="false">LOWER(TRIM(C10))</f>
        <v>priya@gmail.com</v>
      </c>
      <c r="L10" s="8" t="str">
        <f aca="false">UPPER(C10)</f>
        <v>PRIYA@GMAIL.COM</v>
      </c>
      <c r="M10" s="8" t="str">
        <f aca="false">LEFT(D10,3)</f>
        <v>HYD</v>
      </c>
      <c r="N10" s="8" t="str">
        <f aca="false">RIGHT(D10,3)</f>
        <v>004</v>
      </c>
      <c r="O10" s="8" t="str">
        <f aca="false">MID(E10,FIND("-",E10)+1,FIND("-",E10,FIND("-",E10)+1)-FIND("-",E10)-1)</f>
        <v>MON</v>
      </c>
      <c r="P10" s="8" t="n">
        <f aca="false">LEN(A10)</f>
        <v>4</v>
      </c>
      <c r="Q10" s="8" t="str">
        <f aca="false">A10&amp;"_"&amp;LEFT(D10,3)</f>
        <v>C004_HYD</v>
      </c>
      <c r="R10" s="8" t="str">
        <f aca="false">_xlfn.TEXTJOIN(" | ",TRUE(),PROPER(TRIM(B10)),D10,E10)</f>
        <v>Priya Reddy | HYD004 | ELEC-MON-004</v>
      </c>
      <c r="S10" s="8" t="n">
        <f aca="false">FIND("@",C10)</f>
        <v>6</v>
      </c>
      <c r="T10" s="8" t="str">
        <f aca="false">IF(ISNUMBER(SEARCH("gmail",C10)),"Yes","No")</f>
        <v>Yes</v>
      </c>
      <c r="U10" s="8" t="str">
        <f aca="false">SUBSTITUTE(E10,"-","/")</f>
        <v>ELEC/MON/004</v>
      </c>
      <c r="V10" s="8" t="str">
        <f aca="false">REPLACE(A10,1,1,"CUS")</f>
        <v>CUS004</v>
      </c>
      <c r="W10" s="8" t="str">
        <f aca="false">TEXT(F10,"dd-mmm-yyyy")</f>
        <v>12-Sep-2026</v>
      </c>
      <c r="X10" s="44" t="b">
        <f aca="false">EXACT(C10,UPPER(C10))</f>
        <v>0</v>
      </c>
      <c r="Y10" s="8" t="str">
        <f aca="false">LEFT(C10,FIND("@",C10)-1)</f>
        <v>priya</v>
      </c>
      <c r="Z10" s="8" t="str">
        <f aca="false">RIGHT(C10,LEN(C10)-FIND("@",C10))</f>
        <v>gmail.com</v>
      </c>
    </row>
    <row r="11" customFormat="false" ht="15" hidden="false" customHeight="false" outlineLevel="0" collapsed="false">
      <c r="A11" s="6" t="s">
        <v>453</v>
      </c>
      <c r="B11" s="6" t="s">
        <v>454</v>
      </c>
      <c r="C11" s="6" t="s">
        <v>455</v>
      </c>
      <c r="D11" s="6" t="s">
        <v>456</v>
      </c>
      <c r="E11" s="6" t="s">
        <v>457</v>
      </c>
      <c r="F11" s="55" t="n">
        <v>46279</v>
      </c>
      <c r="G11" s="55" t="n">
        <v>45607</v>
      </c>
      <c r="H11" s="22" t="n">
        <v>22000</v>
      </c>
      <c r="I11" s="6" t="s">
        <v>436</v>
      </c>
      <c r="J11" s="6" t="str">
        <f aca="false">PROPER(TRIM(B11))</f>
        <v>Suresh Kumar</v>
      </c>
      <c r="K11" s="6" t="str">
        <f aca="false">LOWER(TRIM(C11))</f>
        <v>suresh@company.com</v>
      </c>
      <c r="L11" s="6" t="str">
        <f aca="false">UPPER(C11)</f>
        <v>SURESH@COMPANY.COM</v>
      </c>
      <c r="M11" s="6" t="str">
        <f aca="false">LEFT(D11,3)</f>
        <v>BLR</v>
      </c>
      <c r="N11" s="6" t="str">
        <f aca="false">RIGHT(D11,3)</f>
        <v>005</v>
      </c>
      <c r="O11" s="6" t="str">
        <f aca="false">MID(E11,FIND("-",E11)+1,FIND("-",E11,FIND("-",E11)+1)-FIND("-",E11)-1)</f>
        <v>BED</v>
      </c>
      <c r="P11" s="6" t="n">
        <f aca="false">LEN(A11)</f>
        <v>4</v>
      </c>
      <c r="Q11" s="6" t="str">
        <f aca="false">A11&amp;"_"&amp;LEFT(D11,3)</f>
        <v>C005_BLR</v>
      </c>
      <c r="R11" s="6" t="str">
        <f aca="false">_xlfn.TEXTJOIN(" | ",TRUE(),PROPER(TRIM(B11)),D11,E11)</f>
        <v>Suresh Kumar | BLR005 | HOME-BED-005</v>
      </c>
      <c r="S11" s="6" t="n">
        <f aca="false">FIND("@",C11)</f>
        <v>7</v>
      </c>
      <c r="T11" s="6" t="str">
        <f aca="false">IF(ISNUMBER(SEARCH("gmail",C11)),"Yes","No")</f>
        <v>No</v>
      </c>
      <c r="U11" s="6" t="str">
        <f aca="false">SUBSTITUTE(E11,"-","/")</f>
        <v>HOME/BED/005</v>
      </c>
      <c r="V11" s="6" t="str">
        <f aca="false">REPLACE(A11,1,1,"CUS")</f>
        <v>CUS005</v>
      </c>
      <c r="W11" s="6" t="str">
        <f aca="false">TEXT(F11,"dd-mmm-yyyy")</f>
        <v>14-Sep-2026</v>
      </c>
      <c r="X11" s="43" t="b">
        <f aca="false">EXACT(C11,UPPER(C11))</f>
        <v>1</v>
      </c>
      <c r="Y11" s="6" t="str">
        <f aca="false">LEFT(C11,FIND("@",C11)-1)</f>
        <v>SURESH</v>
      </c>
      <c r="Z11" s="6" t="str">
        <f aca="false">RIGHT(C11,LEN(C11)-FIND("@",C11))</f>
        <v>COMPANY.COM</v>
      </c>
    </row>
    <row r="12" customFormat="false" ht="15" hidden="false" customHeight="false" outlineLevel="0" collapsed="false">
      <c r="A12" s="8" t="s">
        <v>458</v>
      </c>
      <c r="B12" s="8" t="s">
        <v>459</v>
      </c>
      <c r="C12" s="8" t="s">
        <v>460</v>
      </c>
      <c r="D12" s="8" t="s">
        <v>461</v>
      </c>
      <c r="E12" s="8" t="s">
        <v>462</v>
      </c>
      <c r="F12" s="56" t="n">
        <v>46281</v>
      </c>
      <c r="G12" s="56" t="n">
        <v>46023</v>
      </c>
      <c r="H12" s="24" t="n">
        <v>6500</v>
      </c>
      <c r="I12" s="8" t="s">
        <v>436</v>
      </c>
      <c r="J12" s="8" t="str">
        <f aca="false">PROPER(TRIM(B12))</f>
        <v>Divya Rao</v>
      </c>
      <c r="K12" s="8" t="str">
        <f aca="false">LOWER(TRIM(C12))</f>
        <v>divya@gmail.com</v>
      </c>
      <c r="L12" s="8" t="str">
        <f aca="false">UPPER(C12)</f>
        <v>DIVYA@GMAIL.COM</v>
      </c>
      <c r="M12" s="8" t="str">
        <f aca="false">LEFT(D12,3)</f>
        <v>VIZ</v>
      </c>
      <c r="N12" s="8" t="str">
        <f aca="false">RIGHT(D12,3)</f>
        <v>006</v>
      </c>
      <c r="O12" s="8" t="str">
        <f aca="false">MID(E12,FIND("-",E12)+1,FIND("-",E12,FIND("-",E12)+1)-FIND("-",E12)-1)</f>
        <v>STR</v>
      </c>
      <c r="P12" s="8" t="n">
        <f aca="false">LEN(A12)</f>
        <v>4</v>
      </c>
      <c r="Q12" s="8" t="str">
        <f aca="false">A12&amp;"_"&amp;LEFT(D12,3)</f>
        <v>C006_VIZ</v>
      </c>
      <c r="R12" s="8" t="str">
        <f aca="false">_xlfn.TEXTJOIN(" | ",TRUE(),PROPER(TRIM(B12)),D12,E12)</f>
        <v>Divya Rao | VIZ006 | BABY-STR-006</v>
      </c>
      <c r="S12" s="8" t="n">
        <f aca="false">FIND("@",C12)</f>
        <v>6</v>
      </c>
      <c r="T12" s="8" t="str">
        <f aca="false">IF(ISNUMBER(SEARCH("gmail",C12)),"Yes","No")</f>
        <v>Yes</v>
      </c>
      <c r="U12" s="8" t="str">
        <f aca="false">SUBSTITUTE(E12,"-","/")</f>
        <v>BABY/STR/006</v>
      </c>
      <c r="V12" s="8" t="str">
        <f aca="false">REPLACE(A12,1,1,"CUS")</f>
        <v>CUS006</v>
      </c>
      <c r="W12" s="8" t="str">
        <f aca="false">TEXT(F12,"dd-mmm-yyyy")</f>
        <v>16-Sep-2026</v>
      </c>
      <c r="X12" s="44" t="b">
        <f aca="false">EXACT(C12,UPPER(C12))</f>
        <v>1</v>
      </c>
      <c r="Y12" s="8" t="str">
        <f aca="false">LEFT(C12,FIND("@",C12)-1)</f>
        <v>DIVYA</v>
      </c>
      <c r="Z12" s="8" t="str">
        <f aca="false">RIGHT(C12,LEN(C12)-FIND("@",C12))</f>
        <v>GMAIL.COM</v>
      </c>
    </row>
    <row r="13" customFormat="false" ht="15" hidden="false" customHeight="false" outlineLevel="0" collapsed="false">
      <c r="A13" s="6" t="s">
        <v>463</v>
      </c>
      <c r="B13" s="6" t="s">
        <v>464</v>
      </c>
      <c r="C13" s="6" t="s">
        <v>465</v>
      </c>
      <c r="D13" s="6" t="s">
        <v>466</v>
      </c>
      <c r="E13" s="6" t="s">
        <v>467</v>
      </c>
      <c r="F13" s="55" t="n">
        <v>46254</v>
      </c>
      <c r="G13" s="55" t="n">
        <v>45529</v>
      </c>
      <c r="H13" s="22" t="n">
        <v>55000</v>
      </c>
      <c r="I13" s="6" t="s">
        <v>436</v>
      </c>
      <c r="J13" s="6" t="str">
        <f aca="false">PROPER(TRIM(B13))</f>
        <v>Arun Kumar</v>
      </c>
      <c r="K13" s="6" t="str">
        <f aca="false">LOWER(TRIM(C13))</f>
        <v>arun@yahoo.com</v>
      </c>
      <c r="L13" s="6" t="str">
        <f aca="false">UPPER(C13)</f>
        <v>ARUN@YAHOO.COM</v>
      </c>
      <c r="M13" s="6" t="str">
        <f aca="false">LEFT(D13,3)</f>
        <v>HYD</v>
      </c>
      <c r="N13" s="6" t="str">
        <f aca="false">RIGHT(D13,3)</f>
        <v>007</v>
      </c>
      <c r="O13" s="6" t="str">
        <f aca="false">MID(E13,FIND("-",E13)+1,FIND("-",E13,FIND("-",E13)+1)-FIND("-",E13)-1)</f>
        <v>PHN</v>
      </c>
      <c r="P13" s="6" t="n">
        <f aca="false">LEN(A13)</f>
        <v>4</v>
      </c>
      <c r="Q13" s="6" t="str">
        <f aca="false">A13&amp;"_"&amp;LEFT(D13,3)</f>
        <v>C007_HYD</v>
      </c>
      <c r="R13" s="6" t="str">
        <f aca="false">_xlfn.TEXTJOIN(" | ",TRUE(),PROPER(TRIM(B13)),D13,E13)</f>
        <v>Arun Kumar | HYD007 | ELEC-PHN-007</v>
      </c>
      <c r="S13" s="6" t="n">
        <f aca="false">FIND("@",C13)</f>
        <v>5</v>
      </c>
      <c r="T13" s="6" t="str">
        <f aca="false">IF(ISNUMBER(SEARCH("gmail",C13)),"Yes","No")</f>
        <v>No</v>
      </c>
      <c r="U13" s="6" t="str">
        <f aca="false">SUBSTITUTE(E13,"-","/")</f>
        <v>ELEC/PHN/007</v>
      </c>
      <c r="V13" s="6" t="str">
        <f aca="false">REPLACE(A13,1,1,"CUS")</f>
        <v>CUS007</v>
      </c>
      <c r="W13" s="6" t="str">
        <f aca="false">TEXT(F13,"dd-mmm-yyyy")</f>
        <v>20-Aug-2026</v>
      </c>
      <c r="X13" s="43" t="b">
        <f aca="false">EXACT(C13,UPPER(C13))</f>
        <v>0</v>
      </c>
      <c r="Y13" s="6" t="str">
        <f aca="false">LEFT(C13,FIND("@",C13)-1)</f>
        <v>arun</v>
      </c>
      <c r="Z13" s="6" t="str">
        <f aca="false">RIGHT(C13,LEN(C13)-FIND("@",C13))</f>
        <v>yahoo.com</v>
      </c>
    </row>
    <row r="14" customFormat="false" ht="15" hidden="false" customHeight="false" outlineLevel="0" collapsed="false">
      <c r="A14" s="8" t="s">
        <v>468</v>
      </c>
      <c r="B14" s="8" t="s">
        <v>469</v>
      </c>
      <c r="C14" s="8" t="s">
        <v>470</v>
      </c>
      <c r="D14" s="8" t="s">
        <v>471</v>
      </c>
      <c r="E14" s="8" t="s">
        <v>472</v>
      </c>
      <c r="F14" s="56" t="n">
        <v>46228</v>
      </c>
      <c r="G14" s="56" t="n">
        <v>45034</v>
      </c>
      <c r="H14" s="24" t="n">
        <v>18000</v>
      </c>
      <c r="I14" s="8" t="s">
        <v>436</v>
      </c>
      <c r="J14" s="8" t="str">
        <f aca="false">PROPER(TRIM(B14))</f>
        <v>Meena Reddy</v>
      </c>
      <c r="K14" s="8" t="str">
        <f aca="false">LOWER(TRIM(C14))</f>
        <v>meena@gmail.com</v>
      </c>
      <c r="L14" s="8" t="str">
        <f aca="false">UPPER(C14)</f>
        <v>MEENA@GMAIL.COM</v>
      </c>
      <c r="M14" s="8" t="str">
        <f aca="false">LEFT(D14,3)</f>
        <v>BLR</v>
      </c>
      <c r="N14" s="8" t="str">
        <f aca="false">RIGHT(D14,3)</f>
        <v>008</v>
      </c>
      <c r="O14" s="8" t="str">
        <f aca="false">MID(E14,FIND("-",E14)+1,FIND("-",E14,FIND("-",E14)+1)-FIND("-",E14)-1)</f>
        <v>CHR</v>
      </c>
      <c r="P14" s="8" t="n">
        <f aca="false">LEN(A14)</f>
        <v>4</v>
      </c>
      <c r="Q14" s="8" t="str">
        <f aca="false">A14&amp;"_"&amp;LEFT(D14,3)</f>
        <v>C008_BLR</v>
      </c>
      <c r="R14" s="8" t="str">
        <f aca="false">_xlfn.TEXTJOIN(" | ",TRUE(),PROPER(TRIM(B14)),D14,E14)</f>
        <v>Meena Reddy | BLR008 | HOME-CHR-008</v>
      </c>
      <c r="S14" s="8" t="n">
        <f aca="false">FIND("@",C14)</f>
        <v>6</v>
      </c>
      <c r="T14" s="8" t="str">
        <f aca="false">IF(ISNUMBER(SEARCH("gmail",C14)),"Yes","No")</f>
        <v>Yes</v>
      </c>
      <c r="U14" s="8" t="str">
        <f aca="false">SUBSTITUTE(E14,"-","/")</f>
        <v>HOME/CHR/008</v>
      </c>
      <c r="V14" s="8" t="str">
        <f aca="false">REPLACE(A14,1,1,"CUS")</f>
        <v>CUS008</v>
      </c>
      <c r="W14" s="8" t="str">
        <f aca="false">TEXT(F14,"dd-mmm-yyyy")</f>
        <v>25-Jul-2026</v>
      </c>
      <c r="X14" s="44" t="b">
        <f aca="false">EXACT(C14,UPPER(C14))</f>
        <v>1</v>
      </c>
      <c r="Y14" s="8" t="str">
        <f aca="false">LEFT(C14,FIND("@",C14)-1)</f>
        <v>MEENA</v>
      </c>
      <c r="Z14" s="8" t="str">
        <f aca="false">RIGHT(C14,LEN(C14)-FIND("@",C14))</f>
        <v>GMAIL.COM</v>
      </c>
    </row>
    <row r="15" customFormat="false" ht="15" hidden="false" customHeight="false" outlineLevel="0" collapsed="false">
      <c r="A15" s="6" t="s">
        <v>473</v>
      </c>
      <c r="B15" s="6" t="s">
        <v>474</v>
      </c>
      <c r="C15" s="6" t="s">
        <v>475</v>
      </c>
      <c r="D15" s="6" t="s">
        <v>476</v>
      </c>
      <c r="E15" s="6" t="s">
        <v>477</v>
      </c>
      <c r="F15" s="55" t="n">
        <v>46266</v>
      </c>
      <c r="G15" s="55" t="n">
        <v>45930</v>
      </c>
      <c r="H15" s="22" t="n">
        <v>48000</v>
      </c>
      <c r="I15" s="6" t="s">
        <v>436</v>
      </c>
      <c r="J15" s="6" t="str">
        <f aca="false">PROPER(TRIM(B15))</f>
        <v>Karthik Rao</v>
      </c>
      <c r="K15" s="6" t="str">
        <f aca="false">LOWER(TRIM(C15))</f>
        <v>karthik@company.com</v>
      </c>
      <c r="L15" s="6" t="str">
        <f aca="false">UPPER(C15)</f>
        <v>KARTHIK@COMPANY.COM</v>
      </c>
      <c r="M15" s="6" t="str">
        <f aca="false">LEFT(D15,3)</f>
        <v>VIZ</v>
      </c>
      <c r="N15" s="6" t="str">
        <f aca="false">RIGHT(D15,3)</f>
        <v>009</v>
      </c>
      <c r="O15" s="6" t="str">
        <f aca="false">MID(E15,FIND("-",E15)+1,FIND("-",E15,FIND("-",E15)+1)-FIND("-",E15)-1)</f>
        <v>TV</v>
      </c>
      <c r="P15" s="6" t="n">
        <f aca="false">LEN(A15)</f>
        <v>4</v>
      </c>
      <c r="Q15" s="6" t="str">
        <f aca="false">A15&amp;"_"&amp;LEFT(D15,3)</f>
        <v>C009_VIZ</v>
      </c>
      <c r="R15" s="6" t="str">
        <f aca="false">_xlfn.TEXTJOIN(" | ",TRUE(),PROPER(TRIM(B15)),D15,E15)</f>
        <v>Karthik Rao | VIZ009 | ELEC-TV-009</v>
      </c>
      <c r="S15" s="6" t="n">
        <f aca="false">FIND("@",C15)</f>
        <v>8</v>
      </c>
      <c r="T15" s="6" t="str">
        <f aca="false">IF(ISNUMBER(SEARCH("gmail",C15)),"Yes","No")</f>
        <v>No</v>
      </c>
      <c r="U15" s="6" t="str">
        <f aca="false">SUBSTITUTE(E15,"-","/")</f>
        <v>ELEC/TV/009</v>
      </c>
      <c r="V15" s="6" t="str">
        <f aca="false">REPLACE(A15,1,1,"CUS")</f>
        <v>CUS009</v>
      </c>
      <c r="W15" s="6" t="str">
        <f aca="false">TEXT(F15,"dd-mmm-yyyy")</f>
        <v>01-Sep-2026</v>
      </c>
      <c r="X15" s="43" t="b">
        <f aca="false">EXACT(C15,UPPER(C15))</f>
        <v>0</v>
      </c>
      <c r="Y15" s="6" t="str">
        <f aca="false">LEFT(C15,FIND("@",C15)-1)</f>
        <v>karthik</v>
      </c>
      <c r="Z15" s="6" t="str">
        <f aca="false">RIGHT(C15,LEN(C15)-FIND("@",C15))</f>
        <v>company.com</v>
      </c>
    </row>
    <row r="16" customFormat="false" ht="15" hidden="false" customHeight="false" outlineLevel="0" collapsed="false">
      <c r="A16" s="8" t="s">
        <v>478</v>
      </c>
      <c r="B16" s="8" t="s">
        <v>479</v>
      </c>
      <c r="C16" s="8" t="s">
        <v>480</v>
      </c>
      <c r="D16" s="8" t="s">
        <v>481</v>
      </c>
      <c r="E16" s="8" t="s">
        <v>482</v>
      </c>
      <c r="F16" s="56" t="n">
        <v>46188</v>
      </c>
      <c r="G16" s="56" t="n">
        <v>44907</v>
      </c>
      <c r="H16" s="24" t="n">
        <v>4500</v>
      </c>
      <c r="I16" s="8" t="s">
        <v>447</v>
      </c>
      <c r="J16" s="8" t="str">
        <f aca="false">PROPER(TRIM(B16))</f>
        <v>Lakshmi Devi</v>
      </c>
      <c r="K16" s="8" t="str">
        <f aca="false">LOWER(TRIM(C16))</f>
        <v>lakshmi@yahoo.com</v>
      </c>
      <c r="L16" s="8" t="str">
        <f aca="false">UPPER(C16)</f>
        <v>LAKSHMI@YAHOO.COM</v>
      </c>
      <c r="M16" s="8" t="str">
        <f aca="false">LEFT(D16,3)</f>
        <v>HYD</v>
      </c>
      <c r="N16" s="8" t="str">
        <f aca="false">RIGHT(D16,3)</f>
        <v>010</v>
      </c>
      <c r="O16" s="8" t="str">
        <f aca="false">MID(E16,FIND("-",E16)+1,FIND("-",E16,FIND("-",E16)+1)-FIND("-",E16)-1)</f>
        <v>FED</v>
      </c>
      <c r="P16" s="8" t="n">
        <f aca="false">LEN(A16)</f>
        <v>4</v>
      </c>
      <c r="Q16" s="8" t="str">
        <f aca="false">A16&amp;"_"&amp;LEFT(D16,3)</f>
        <v>C010_HYD</v>
      </c>
      <c r="R16" s="8" t="str">
        <f aca="false">_xlfn.TEXTJOIN(" | ",TRUE(),PROPER(TRIM(B16)),D16,E16)</f>
        <v>Lakshmi Devi | HYD010 | BABY-FED-010</v>
      </c>
      <c r="S16" s="8" t="n">
        <f aca="false">FIND("@",C16)</f>
        <v>8</v>
      </c>
      <c r="T16" s="8" t="str">
        <f aca="false">IF(ISNUMBER(SEARCH("gmail",C16)),"Yes","No")</f>
        <v>No</v>
      </c>
      <c r="U16" s="8" t="str">
        <f aca="false">SUBSTITUTE(E16,"-","/")</f>
        <v>BABY/FED/010</v>
      </c>
      <c r="V16" s="8" t="str">
        <f aca="false">REPLACE(A16,1,1,"CUS")</f>
        <v>CUS010</v>
      </c>
      <c r="W16" s="8" t="str">
        <f aca="false">TEXT(F16,"dd-mmm-yyyy")</f>
        <v>15-Jun-2026</v>
      </c>
      <c r="X16" s="44" t="b">
        <f aca="false">EXACT(C16,UPPER(C16))</f>
        <v>1</v>
      </c>
      <c r="Y16" s="8" t="str">
        <f aca="false">LEFT(C16,FIND("@",C16)-1)</f>
        <v>LAKSHMI</v>
      </c>
      <c r="Z16" s="8" t="str">
        <f aca="false">RIGHT(C16,LEN(C16)-FIND("@",C16))</f>
        <v>YAHOO.COM</v>
      </c>
    </row>
    <row r="19" customFormat="false" ht="15" hidden="false" customHeight="false" outlineLevel="0" collapsed="false">
      <c r="A19" s="20" t="s">
        <v>201</v>
      </c>
    </row>
    <row r="20" customFormat="false" ht="15" hidden="false" customHeight="true" outlineLevel="0" collapsed="false">
      <c r="A20" s="5" t="s">
        <v>4</v>
      </c>
      <c r="B20" s="5" t="s">
        <v>202</v>
      </c>
      <c r="C20" s="48" t="s">
        <v>203</v>
      </c>
      <c r="D20" s="48"/>
      <c r="E20" s="48"/>
      <c r="F20" s="48"/>
      <c r="G20" s="48"/>
      <c r="H20" s="48"/>
      <c r="I20" s="48" t="s">
        <v>204</v>
      </c>
      <c r="J20" s="48"/>
      <c r="K20" s="48"/>
      <c r="L20" s="48"/>
      <c r="M20" s="48"/>
      <c r="N20" s="48"/>
      <c r="O20" s="48"/>
      <c r="P20" s="48"/>
      <c r="Q20" s="48"/>
    </row>
    <row r="21" customFormat="false" ht="18" hidden="false" customHeight="true" outlineLevel="0" collapsed="false">
      <c r="A21" s="49" t="n">
        <v>1</v>
      </c>
      <c r="B21" s="50" t="s">
        <v>414</v>
      </c>
      <c r="C21" s="49" t="s">
        <v>483</v>
      </c>
      <c r="D21" s="49"/>
      <c r="E21" s="49"/>
      <c r="F21" s="49"/>
      <c r="G21" s="49"/>
      <c r="H21" s="49"/>
      <c r="I21" s="49" t="s">
        <v>484</v>
      </c>
      <c r="J21" s="49"/>
      <c r="K21" s="49"/>
      <c r="L21" s="49"/>
      <c r="M21" s="49"/>
      <c r="N21" s="49"/>
      <c r="O21" s="49"/>
      <c r="P21" s="49"/>
      <c r="Q21" s="49"/>
    </row>
    <row r="22" customFormat="false" ht="18" hidden="false" customHeight="true" outlineLevel="0" collapsed="false">
      <c r="A22" s="51" t="n">
        <v>2</v>
      </c>
      <c r="B22" s="52" t="s">
        <v>415</v>
      </c>
      <c r="C22" s="51" t="s">
        <v>485</v>
      </c>
      <c r="D22" s="51"/>
      <c r="E22" s="51"/>
      <c r="F22" s="51"/>
      <c r="G22" s="51"/>
      <c r="H22" s="51"/>
      <c r="I22" s="51" t="s">
        <v>486</v>
      </c>
      <c r="J22" s="51"/>
      <c r="K22" s="51"/>
      <c r="L22" s="51"/>
      <c r="M22" s="51"/>
      <c r="N22" s="51"/>
      <c r="O22" s="51"/>
      <c r="P22" s="51"/>
      <c r="Q22" s="51"/>
    </row>
    <row r="23" customFormat="false" ht="18" hidden="false" customHeight="true" outlineLevel="0" collapsed="false">
      <c r="A23" s="49" t="n">
        <v>3</v>
      </c>
      <c r="B23" s="50" t="s">
        <v>416</v>
      </c>
      <c r="C23" s="49" t="s">
        <v>487</v>
      </c>
      <c r="D23" s="49"/>
      <c r="E23" s="49"/>
      <c r="F23" s="49"/>
      <c r="G23" s="49"/>
      <c r="H23" s="49"/>
      <c r="I23" s="49" t="s">
        <v>488</v>
      </c>
      <c r="J23" s="49"/>
      <c r="K23" s="49"/>
      <c r="L23" s="49"/>
      <c r="M23" s="49"/>
      <c r="N23" s="49"/>
      <c r="O23" s="49"/>
      <c r="P23" s="49"/>
      <c r="Q23" s="49"/>
    </row>
    <row r="24" customFormat="false" ht="18" hidden="false" customHeight="true" outlineLevel="0" collapsed="false">
      <c r="A24" s="51" t="n">
        <v>4</v>
      </c>
      <c r="B24" s="52" t="s">
        <v>417</v>
      </c>
      <c r="C24" s="51" t="s">
        <v>489</v>
      </c>
      <c r="D24" s="51"/>
      <c r="E24" s="51"/>
      <c r="F24" s="51"/>
      <c r="G24" s="51"/>
      <c r="H24" s="51"/>
      <c r="I24" s="51" t="s">
        <v>490</v>
      </c>
      <c r="J24" s="51"/>
      <c r="K24" s="51"/>
      <c r="L24" s="51"/>
      <c r="M24" s="51"/>
      <c r="N24" s="51"/>
      <c r="O24" s="51"/>
      <c r="P24" s="51"/>
      <c r="Q24" s="51"/>
    </row>
    <row r="25" customFormat="false" ht="18" hidden="false" customHeight="true" outlineLevel="0" collapsed="false">
      <c r="A25" s="49" t="n">
        <v>5</v>
      </c>
      <c r="B25" s="50" t="s">
        <v>418</v>
      </c>
      <c r="C25" s="49" t="s">
        <v>491</v>
      </c>
      <c r="D25" s="49"/>
      <c r="E25" s="49"/>
      <c r="F25" s="49"/>
      <c r="G25" s="49"/>
      <c r="H25" s="49"/>
      <c r="I25" s="49" t="s">
        <v>492</v>
      </c>
      <c r="J25" s="49"/>
      <c r="K25" s="49"/>
      <c r="L25" s="49"/>
      <c r="M25" s="49"/>
      <c r="N25" s="49"/>
      <c r="O25" s="49"/>
      <c r="P25" s="49"/>
      <c r="Q25" s="49"/>
    </row>
    <row r="26" customFormat="false" ht="18" hidden="false" customHeight="true" outlineLevel="0" collapsed="false">
      <c r="A26" s="51" t="n">
        <v>6</v>
      </c>
      <c r="B26" s="52" t="s">
        <v>419</v>
      </c>
      <c r="C26" s="51" t="s">
        <v>493</v>
      </c>
      <c r="D26" s="51"/>
      <c r="E26" s="51"/>
      <c r="F26" s="51"/>
      <c r="G26" s="51"/>
      <c r="H26" s="51"/>
      <c r="I26" s="51" t="s">
        <v>494</v>
      </c>
      <c r="J26" s="51"/>
      <c r="K26" s="51"/>
      <c r="L26" s="51"/>
      <c r="M26" s="51"/>
      <c r="N26" s="51"/>
      <c r="O26" s="51"/>
      <c r="P26" s="51"/>
      <c r="Q26" s="51"/>
    </row>
    <row r="27" customFormat="false" ht="18" hidden="false" customHeight="true" outlineLevel="0" collapsed="false">
      <c r="A27" s="49" t="n">
        <v>7</v>
      </c>
      <c r="B27" s="50" t="s">
        <v>420</v>
      </c>
      <c r="C27" s="49" t="s">
        <v>495</v>
      </c>
      <c r="D27" s="49"/>
      <c r="E27" s="49"/>
      <c r="F27" s="49"/>
      <c r="G27" s="49"/>
      <c r="H27" s="49"/>
      <c r="I27" s="49" t="s">
        <v>496</v>
      </c>
      <c r="J27" s="49"/>
      <c r="K27" s="49"/>
      <c r="L27" s="49"/>
      <c r="M27" s="49"/>
      <c r="N27" s="49"/>
      <c r="O27" s="49"/>
      <c r="P27" s="49"/>
      <c r="Q27" s="49"/>
    </row>
    <row r="28" customFormat="false" ht="18" hidden="false" customHeight="true" outlineLevel="0" collapsed="false">
      <c r="A28" s="51" t="n">
        <v>8</v>
      </c>
      <c r="B28" s="52" t="s">
        <v>421</v>
      </c>
      <c r="C28" s="51" t="s">
        <v>497</v>
      </c>
      <c r="D28" s="51"/>
      <c r="E28" s="51"/>
      <c r="F28" s="51"/>
      <c r="G28" s="51"/>
      <c r="H28" s="51"/>
      <c r="I28" s="51" t="s">
        <v>498</v>
      </c>
      <c r="J28" s="51"/>
      <c r="K28" s="51"/>
      <c r="L28" s="51"/>
      <c r="M28" s="51"/>
      <c r="N28" s="51"/>
      <c r="O28" s="51"/>
      <c r="P28" s="51"/>
      <c r="Q28" s="51"/>
    </row>
    <row r="29" customFormat="false" ht="18" hidden="false" customHeight="true" outlineLevel="0" collapsed="false">
      <c r="A29" s="49" t="n">
        <v>9</v>
      </c>
      <c r="B29" s="50" t="s">
        <v>422</v>
      </c>
      <c r="C29" s="49" t="s">
        <v>499</v>
      </c>
      <c r="D29" s="49"/>
      <c r="E29" s="49"/>
      <c r="F29" s="49"/>
      <c r="G29" s="49"/>
      <c r="H29" s="49"/>
      <c r="I29" s="49" t="s">
        <v>500</v>
      </c>
      <c r="J29" s="49"/>
      <c r="K29" s="49"/>
      <c r="L29" s="49"/>
      <c r="M29" s="49"/>
      <c r="N29" s="49"/>
      <c r="O29" s="49"/>
      <c r="P29" s="49"/>
      <c r="Q29" s="49"/>
    </row>
    <row r="30" customFormat="false" ht="18" hidden="false" customHeight="true" outlineLevel="0" collapsed="false">
      <c r="A30" s="51" t="n">
        <v>10</v>
      </c>
      <c r="B30" s="52" t="s">
        <v>423</v>
      </c>
      <c r="C30" s="51" t="s">
        <v>501</v>
      </c>
      <c r="D30" s="51"/>
      <c r="E30" s="51"/>
      <c r="F30" s="51"/>
      <c r="G30" s="51"/>
      <c r="H30" s="51"/>
      <c r="I30" s="51" t="s">
        <v>502</v>
      </c>
      <c r="J30" s="51"/>
      <c r="K30" s="51"/>
      <c r="L30" s="51"/>
      <c r="M30" s="51"/>
      <c r="N30" s="51"/>
      <c r="O30" s="51"/>
      <c r="P30" s="51"/>
      <c r="Q30" s="51"/>
    </row>
    <row r="31" customFormat="false" ht="18" hidden="false" customHeight="true" outlineLevel="0" collapsed="false">
      <c r="A31" s="49" t="n">
        <v>11</v>
      </c>
      <c r="B31" s="50" t="s">
        <v>424</v>
      </c>
      <c r="C31" s="49" t="s">
        <v>503</v>
      </c>
      <c r="D31" s="49"/>
      <c r="E31" s="49"/>
      <c r="F31" s="49"/>
      <c r="G31" s="49"/>
      <c r="H31" s="49"/>
      <c r="I31" s="49" t="s">
        <v>504</v>
      </c>
      <c r="J31" s="49"/>
      <c r="K31" s="49"/>
      <c r="L31" s="49"/>
      <c r="M31" s="49"/>
      <c r="N31" s="49"/>
      <c r="O31" s="49"/>
      <c r="P31" s="49"/>
      <c r="Q31" s="49"/>
    </row>
    <row r="32" customFormat="false" ht="18" hidden="false" customHeight="true" outlineLevel="0" collapsed="false">
      <c r="A32" s="51" t="n">
        <v>12</v>
      </c>
      <c r="B32" s="52" t="s">
        <v>425</v>
      </c>
      <c r="C32" s="51" t="s">
        <v>505</v>
      </c>
      <c r="D32" s="51"/>
      <c r="E32" s="51"/>
      <c r="F32" s="51"/>
      <c r="G32" s="51"/>
      <c r="H32" s="51"/>
      <c r="I32" s="51" t="s">
        <v>506</v>
      </c>
      <c r="J32" s="51"/>
      <c r="K32" s="51"/>
      <c r="L32" s="51"/>
      <c r="M32" s="51"/>
      <c r="N32" s="51"/>
      <c r="O32" s="51"/>
      <c r="P32" s="51"/>
      <c r="Q32" s="51"/>
    </row>
    <row r="33" customFormat="false" ht="18" hidden="false" customHeight="true" outlineLevel="0" collapsed="false">
      <c r="A33" s="49" t="n">
        <v>13</v>
      </c>
      <c r="B33" s="50" t="s">
        <v>426</v>
      </c>
      <c r="C33" s="49" t="s">
        <v>507</v>
      </c>
      <c r="D33" s="49"/>
      <c r="E33" s="49"/>
      <c r="F33" s="49"/>
      <c r="G33" s="49"/>
      <c r="H33" s="49"/>
      <c r="I33" s="49" t="s">
        <v>508</v>
      </c>
      <c r="J33" s="49"/>
      <c r="K33" s="49"/>
      <c r="L33" s="49"/>
      <c r="M33" s="49"/>
      <c r="N33" s="49"/>
      <c r="O33" s="49"/>
      <c r="P33" s="49"/>
      <c r="Q33" s="49"/>
    </row>
    <row r="34" customFormat="false" ht="18" hidden="false" customHeight="true" outlineLevel="0" collapsed="false">
      <c r="A34" s="51" t="n">
        <v>14</v>
      </c>
      <c r="B34" s="52" t="s">
        <v>427</v>
      </c>
      <c r="C34" s="51" t="s">
        <v>509</v>
      </c>
      <c r="D34" s="51"/>
      <c r="E34" s="51"/>
      <c r="F34" s="51"/>
      <c r="G34" s="51"/>
      <c r="H34" s="51"/>
      <c r="I34" s="51" t="s">
        <v>510</v>
      </c>
      <c r="J34" s="51"/>
      <c r="K34" s="51"/>
      <c r="L34" s="51"/>
      <c r="M34" s="51"/>
      <c r="N34" s="51"/>
      <c r="O34" s="51"/>
      <c r="P34" s="51"/>
      <c r="Q34" s="51"/>
    </row>
    <row r="35" customFormat="false" ht="18" hidden="false" customHeight="true" outlineLevel="0" collapsed="false">
      <c r="A35" s="49" t="n">
        <v>15</v>
      </c>
      <c r="B35" s="50" t="s">
        <v>428</v>
      </c>
      <c r="C35" s="49" t="s">
        <v>511</v>
      </c>
      <c r="D35" s="49"/>
      <c r="E35" s="49"/>
      <c r="F35" s="49"/>
      <c r="G35" s="49"/>
      <c r="H35" s="49"/>
      <c r="I35" s="49" t="s">
        <v>512</v>
      </c>
      <c r="J35" s="49"/>
      <c r="K35" s="49"/>
      <c r="L35" s="49"/>
      <c r="M35" s="49"/>
      <c r="N35" s="49"/>
      <c r="O35" s="49"/>
      <c r="P35" s="49"/>
      <c r="Q35" s="49"/>
    </row>
    <row r="36" customFormat="false" ht="18" hidden="false" customHeight="true" outlineLevel="0" collapsed="false">
      <c r="A36" s="51" t="n">
        <v>16</v>
      </c>
      <c r="B36" s="52" t="s">
        <v>429</v>
      </c>
      <c r="C36" s="51" t="s">
        <v>513</v>
      </c>
      <c r="D36" s="51"/>
      <c r="E36" s="51"/>
      <c r="F36" s="51"/>
      <c r="G36" s="51"/>
      <c r="H36" s="51"/>
      <c r="I36" s="51" t="s">
        <v>514</v>
      </c>
      <c r="J36" s="51"/>
      <c r="K36" s="51"/>
      <c r="L36" s="51"/>
      <c r="M36" s="51"/>
      <c r="N36" s="51"/>
      <c r="O36" s="51"/>
      <c r="P36" s="51"/>
      <c r="Q36" s="51"/>
    </row>
    <row r="37" customFormat="false" ht="18" hidden="false" customHeight="true" outlineLevel="0" collapsed="false">
      <c r="A37" s="49" t="n">
        <v>17</v>
      </c>
      <c r="B37" s="50" t="s">
        <v>430</v>
      </c>
      <c r="C37" s="49" t="s">
        <v>515</v>
      </c>
      <c r="D37" s="49"/>
      <c r="E37" s="49"/>
      <c r="F37" s="49"/>
      <c r="G37" s="49"/>
      <c r="H37" s="49"/>
      <c r="I37" s="49" t="s">
        <v>516</v>
      </c>
      <c r="J37" s="49"/>
      <c r="K37" s="49"/>
      <c r="L37" s="49"/>
      <c r="M37" s="49"/>
      <c r="N37" s="49"/>
      <c r="O37" s="49"/>
      <c r="P37" s="49"/>
      <c r="Q37" s="49"/>
    </row>
  </sheetData>
  <mergeCells count="36">
    <mergeCell ref="C20:H20"/>
    <mergeCell ref="I20:Q20"/>
    <mergeCell ref="C21:H21"/>
    <mergeCell ref="I21:Q21"/>
    <mergeCell ref="C22:H22"/>
    <mergeCell ref="I22:Q22"/>
    <mergeCell ref="C23:H23"/>
    <mergeCell ref="I23:Q23"/>
    <mergeCell ref="C24:H24"/>
    <mergeCell ref="I24:Q24"/>
    <mergeCell ref="C25:H25"/>
    <mergeCell ref="I25:Q25"/>
    <mergeCell ref="C26:H26"/>
    <mergeCell ref="I26:Q26"/>
    <mergeCell ref="C27:H27"/>
    <mergeCell ref="I27:Q27"/>
    <mergeCell ref="C28:H28"/>
    <mergeCell ref="I28:Q28"/>
    <mergeCell ref="C29:H29"/>
    <mergeCell ref="I29:Q29"/>
    <mergeCell ref="C30:H30"/>
    <mergeCell ref="I30:Q30"/>
    <mergeCell ref="C31:H31"/>
    <mergeCell ref="I31:Q31"/>
    <mergeCell ref="C32:H32"/>
    <mergeCell ref="I32:Q32"/>
    <mergeCell ref="C33:H33"/>
    <mergeCell ref="I33:Q33"/>
    <mergeCell ref="C34:H34"/>
    <mergeCell ref="I34:Q34"/>
    <mergeCell ref="C35:H35"/>
    <mergeCell ref="I35:Q35"/>
    <mergeCell ref="C36:H36"/>
    <mergeCell ref="I36:Q36"/>
    <mergeCell ref="C37:H37"/>
    <mergeCell ref="I37:Q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true"/>
  </sheetPr>
  <dimension ref="A1:W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5"/>
    <col collapsed="false" customWidth="true" hidden="false" outlineLevel="0" max="7" min="7" style="0" width="18"/>
    <col collapsed="false" customWidth="true" hidden="false" outlineLevel="0" max="8" min="8" style="0" width="13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2" min="12" style="0" width="11"/>
    <col collapsed="false" customWidth="true" hidden="false" outlineLevel="0" max="13" min="13" style="0" width="10"/>
    <col collapsed="false" customWidth="true" hidden="false" outlineLevel="0" max="14" min="14" style="0" width="11"/>
    <col collapsed="false" customWidth="true" hidden="false" outlineLevel="0" max="15" min="15" style="0" width="10"/>
    <col collapsed="false" customWidth="true" hidden="false" outlineLevel="0" max="17" min="16" style="0" width="11"/>
    <col collapsed="false" customWidth="true" hidden="false" outlineLevel="0" max="18" min="18" style="0" width="14"/>
    <col collapsed="false" customWidth="true" hidden="false" outlineLevel="0" max="19" min="19" style="0" width="3"/>
    <col collapsed="false" customWidth="true" hidden="false" outlineLevel="0" max="20" min="20" style="0" width="26"/>
    <col collapsed="false" customWidth="true" hidden="false" outlineLevel="0" max="21" min="21" style="0" width="36"/>
    <col collapsed="false" customWidth="true" hidden="false" outlineLevel="0" max="22" min="22" style="0" width="14"/>
    <col collapsed="false" customWidth="true" hidden="false" outlineLevel="0" max="23" min="23" style="0" width="11"/>
  </cols>
  <sheetData>
    <row r="1" customFormat="false" ht="24" hidden="false" customHeight="true" outlineLevel="0" collapsed="false">
      <c r="A1" s="13" t="s">
        <v>517</v>
      </c>
    </row>
    <row r="2" customFormat="false" ht="15" hidden="false" customHeight="false" outlineLevel="0" collapsed="false">
      <c r="A2" s="14" t="s">
        <v>518</v>
      </c>
    </row>
    <row r="3" customFormat="false" ht="15" hidden="false" customHeight="false" outlineLevel="0" collapsed="false">
      <c r="A3" s="15" t="s">
        <v>519</v>
      </c>
    </row>
    <row r="4" customFormat="false" ht="15" hidden="false" customHeight="false" outlineLevel="0" collapsed="false">
      <c r="A4" s="12" t="s">
        <v>39</v>
      </c>
    </row>
    <row r="6" customFormat="false" ht="30" hidden="false" customHeight="true" outlineLevel="0" collapsed="false">
      <c r="A6" s="5" t="s">
        <v>520</v>
      </c>
      <c r="B6" s="5" t="s">
        <v>521</v>
      </c>
      <c r="C6" s="5" t="s">
        <v>406</v>
      </c>
      <c r="D6" s="5" t="s">
        <v>522</v>
      </c>
      <c r="E6" s="5" t="s">
        <v>523</v>
      </c>
      <c r="F6" s="5" t="s">
        <v>52</v>
      </c>
      <c r="G6" s="5" t="s">
        <v>79</v>
      </c>
      <c r="H6" s="5" t="s">
        <v>524</v>
      </c>
      <c r="I6" s="5" t="s">
        <v>525</v>
      </c>
      <c r="J6" s="5" t="s">
        <v>526</v>
      </c>
      <c r="K6" s="5" t="s">
        <v>150</v>
      </c>
      <c r="L6" s="5" t="s">
        <v>151</v>
      </c>
      <c r="M6" s="5" t="s">
        <v>527</v>
      </c>
      <c r="N6" s="5" t="s">
        <v>413</v>
      </c>
      <c r="O6" s="5" t="s">
        <v>528</v>
      </c>
      <c r="P6" s="21" t="s">
        <v>529</v>
      </c>
      <c r="Q6" s="21" t="s">
        <v>530</v>
      </c>
      <c r="R6" s="21" t="s">
        <v>531</v>
      </c>
      <c r="T6" s="20" t="s">
        <v>532</v>
      </c>
    </row>
    <row r="7" customFormat="false" ht="15" hidden="false" customHeight="false" outlineLevel="0" collapsed="false">
      <c r="A7" s="6" t="s">
        <v>533</v>
      </c>
      <c r="B7" s="57" t="n">
        <v>46235</v>
      </c>
      <c r="C7" s="6" t="s">
        <v>431</v>
      </c>
      <c r="D7" s="6" t="s">
        <v>534</v>
      </c>
      <c r="E7" s="6" t="s">
        <v>535</v>
      </c>
      <c r="F7" s="6" t="s">
        <v>56</v>
      </c>
      <c r="G7" s="6" t="s">
        <v>536</v>
      </c>
      <c r="H7" s="6" t="s">
        <v>537</v>
      </c>
      <c r="I7" s="22" t="n">
        <v>899</v>
      </c>
      <c r="J7" s="6" t="n">
        <v>2</v>
      </c>
      <c r="K7" s="46" t="n">
        <v>0.05</v>
      </c>
      <c r="L7" s="6" t="s">
        <v>103</v>
      </c>
      <c r="M7" s="6" t="s">
        <v>69</v>
      </c>
      <c r="N7" s="6" t="s">
        <v>436</v>
      </c>
      <c r="O7" s="6" t="n">
        <v>4.5</v>
      </c>
      <c r="P7" s="22" t="n">
        <f aca="false">I7*J7</f>
        <v>1798</v>
      </c>
      <c r="Q7" s="22" t="n">
        <f aca="false">P7*K7</f>
        <v>89.9</v>
      </c>
      <c r="R7" s="22" t="n">
        <f aca="false">P7-Q7</f>
        <v>1708.1</v>
      </c>
      <c r="T7" s="5" t="s">
        <v>538</v>
      </c>
      <c r="U7" s="5" t="s">
        <v>6</v>
      </c>
    </row>
    <row r="8" customFormat="false" ht="15" hidden="false" customHeight="false" outlineLevel="0" collapsed="false">
      <c r="A8" s="6" t="s">
        <v>539</v>
      </c>
      <c r="B8" s="57" t="n">
        <v>46235</v>
      </c>
      <c r="C8" s="6" t="s">
        <v>437</v>
      </c>
      <c r="D8" s="6" t="s">
        <v>540</v>
      </c>
      <c r="E8" s="6" t="s">
        <v>541</v>
      </c>
      <c r="F8" s="6" t="s">
        <v>542</v>
      </c>
      <c r="G8" s="6" t="s">
        <v>543</v>
      </c>
      <c r="H8" s="6" t="s">
        <v>544</v>
      </c>
      <c r="I8" s="22" t="n">
        <v>5499</v>
      </c>
      <c r="J8" s="6" t="n">
        <v>1</v>
      </c>
      <c r="K8" s="46" t="n">
        <v>0.1</v>
      </c>
      <c r="L8" s="6" t="s">
        <v>176</v>
      </c>
      <c r="M8" s="6" t="s">
        <v>69</v>
      </c>
      <c r="N8" s="6" t="s">
        <v>436</v>
      </c>
      <c r="O8" s="6" t="n">
        <v>4.2</v>
      </c>
      <c r="P8" s="22" t="n">
        <f aca="false">I8*J8</f>
        <v>5499</v>
      </c>
      <c r="Q8" s="22" t="n">
        <f aca="false">P8*K8</f>
        <v>549.9</v>
      </c>
      <c r="R8" s="22" t="n">
        <f aca="false">P8-Q8</f>
        <v>4949.1</v>
      </c>
      <c r="T8" s="58" t="s">
        <v>545</v>
      </c>
      <c r="U8" s="6" t="s">
        <v>546</v>
      </c>
    </row>
    <row r="9" customFormat="false" ht="15" hidden="false" customHeight="false" outlineLevel="0" collapsed="false">
      <c r="A9" s="6" t="s">
        <v>547</v>
      </c>
      <c r="B9" s="57" t="n">
        <v>46236</v>
      </c>
      <c r="C9" s="6" t="s">
        <v>442</v>
      </c>
      <c r="D9" s="6" t="s">
        <v>548</v>
      </c>
      <c r="E9" s="6" t="s">
        <v>549</v>
      </c>
      <c r="F9" s="6" t="s">
        <v>62</v>
      </c>
      <c r="G9" s="6" t="s">
        <v>550</v>
      </c>
      <c r="H9" s="6" t="s">
        <v>551</v>
      </c>
      <c r="I9" s="22" t="n">
        <v>2999</v>
      </c>
      <c r="J9" s="6" t="n">
        <v>1</v>
      </c>
      <c r="K9" s="46" t="n">
        <v>0.15</v>
      </c>
      <c r="L9" s="6" t="s">
        <v>103</v>
      </c>
      <c r="M9" s="6" t="s">
        <v>552</v>
      </c>
      <c r="N9" s="6" t="s">
        <v>436</v>
      </c>
      <c r="O9" s="6" t="n">
        <v>4.7</v>
      </c>
      <c r="P9" s="22" t="n">
        <f aca="false">I9*J9</f>
        <v>2999</v>
      </c>
      <c r="Q9" s="22" t="n">
        <f aca="false">P9*K9</f>
        <v>449.85</v>
      </c>
      <c r="R9" s="22" t="n">
        <f aca="false">P9-Q9</f>
        <v>2549.15</v>
      </c>
      <c r="T9" s="59" t="s">
        <v>553</v>
      </c>
      <c r="U9" s="6" t="s">
        <v>554</v>
      </c>
    </row>
    <row r="10" customFormat="false" ht="15" hidden="false" customHeight="false" outlineLevel="0" collapsed="false">
      <c r="A10" s="6" t="s">
        <v>555</v>
      </c>
      <c r="B10" s="57" t="n">
        <v>46236</v>
      </c>
      <c r="C10" s="6" t="s">
        <v>448</v>
      </c>
      <c r="D10" s="6" t="s">
        <v>556</v>
      </c>
      <c r="E10" s="6" t="s">
        <v>557</v>
      </c>
      <c r="F10" s="6" t="s">
        <v>183</v>
      </c>
      <c r="G10" s="6" t="s">
        <v>558</v>
      </c>
      <c r="H10" s="6" t="s">
        <v>559</v>
      </c>
      <c r="I10" s="22" t="n">
        <v>650</v>
      </c>
      <c r="J10" s="6" t="n">
        <v>4</v>
      </c>
      <c r="K10" s="46" t="n">
        <v>0.05</v>
      </c>
      <c r="L10" s="6" t="s">
        <v>101</v>
      </c>
      <c r="M10" s="6" t="s">
        <v>552</v>
      </c>
      <c r="N10" s="6" t="s">
        <v>447</v>
      </c>
      <c r="O10" s="6" t="n">
        <v>4.1</v>
      </c>
      <c r="P10" s="22" t="n">
        <f aca="false">I10*J10</f>
        <v>2600</v>
      </c>
      <c r="Q10" s="22" t="n">
        <f aca="false">P10*K10</f>
        <v>130</v>
      </c>
      <c r="R10" s="22" t="n">
        <f aca="false">P10-Q10</f>
        <v>2470</v>
      </c>
      <c r="T10" s="59" t="s">
        <v>560</v>
      </c>
      <c r="U10" s="6" t="s">
        <v>561</v>
      </c>
    </row>
    <row r="11" customFormat="false" ht="15" hidden="false" customHeight="false" outlineLevel="0" collapsed="false">
      <c r="A11" s="6" t="s">
        <v>562</v>
      </c>
      <c r="B11" s="57" t="n">
        <v>46237</v>
      </c>
      <c r="C11" s="6" t="s">
        <v>453</v>
      </c>
      <c r="D11" s="6" t="s">
        <v>563</v>
      </c>
      <c r="E11" s="6" t="s">
        <v>535</v>
      </c>
      <c r="F11" s="6" t="s">
        <v>56</v>
      </c>
      <c r="G11" s="6" t="s">
        <v>564</v>
      </c>
      <c r="H11" s="6" t="s">
        <v>565</v>
      </c>
      <c r="I11" s="22" t="n">
        <v>2199</v>
      </c>
      <c r="J11" s="6" t="n">
        <v>2</v>
      </c>
      <c r="K11" s="46" t="n">
        <v>0.12</v>
      </c>
      <c r="L11" s="6" t="s">
        <v>176</v>
      </c>
      <c r="M11" s="6" t="s">
        <v>69</v>
      </c>
      <c r="N11" s="6" t="s">
        <v>447</v>
      </c>
      <c r="O11" s="6" t="n">
        <v>4.6</v>
      </c>
      <c r="P11" s="22" t="n">
        <f aca="false">I11*J11</f>
        <v>4398</v>
      </c>
      <c r="Q11" s="22" t="n">
        <f aca="false">P11*K11</f>
        <v>527.76</v>
      </c>
      <c r="R11" s="22" t="n">
        <f aca="false">P11-Q11</f>
        <v>3870.24</v>
      </c>
      <c r="T11" s="60" t="s">
        <v>566</v>
      </c>
      <c r="U11" s="6" t="s">
        <v>567</v>
      </c>
    </row>
    <row r="12" customFormat="false" ht="15" hidden="false" customHeight="false" outlineLevel="0" collapsed="false">
      <c r="A12" s="6" t="s">
        <v>568</v>
      </c>
      <c r="B12" s="57" t="n">
        <v>46237</v>
      </c>
      <c r="C12" s="6" t="s">
        <v>458</v>
      </c>
      <c r="D12" s="6" t="s">
        <v>278</v>
      </c>
      <c r="E12" s="6" t="s">
        <v>569</v>
      </c>
      <c r="F12" s="6" t="s">
        <v>62</v>
      </c>
      <c r="G12" s="6" t="s">
        <v>570</v>
      </c>
      <c r="H12" s="6" t="s">
        <v>571</v>
      </c>
      <c r="I12" s="22" t="n">
        <v>2499</v>
      </c>
      <c r="J12" s="6" t="n">
        <v>1</v>
      </c>
      <c r="K12" s="46" t="n">
        <v>0.2</v>
      </c>
      <c r="L12" s="6" t="s">
        <v>103</v>
      </c>
      <c r="M12" s="6" t="s">
        <v>69</v>
      </c>
      <c r="N12" s="6" t="s">
        <v>447</v>
      </c>
      <c r="O12" s="6" t="n">
        <v>4</v>
      </c>
      <c r="P12" s="22" t="n">
        <f aca="false">I12*J12</f>
        <v>2499</v>
      </c>
      <c r="Q12" s="22" t="n">
        <f aca="false">P12*K12</f>
        <v>499.8</v>
      </c>
      <c r="R12" s="22" t="n">
        <f aca="false">P12-Q12</f>
        <v>1999.2</v>
      </c>
      <c r="T12" s="6" t="s">
        <v>528</v>
      </c>
      <c r="U12" s="6" t="s">
        <v>572</v>
      </c>
    </row>
    <row r="13" customFormat="false" ht="15" hidden="false" customHeight="false" outlineLevel="0" collapsed="false">
      <c r="A13" s="6" t="s">
        <v>573</v>
      </c>
      <c r="B13" s="57" t="n">
        <v>46238</v>
      </c>
      <c r="C13" s="6" t="s">
        <v>463</v>
      </c>
      <c r="D13" s="6" t="s">
        <v>350</v>
      </c>
      <c r="E13" s="6" t="s">
        <v>574</v>
      </c>
      <c r="F13" s="6" t="s">
        <v>575</v>
      </c>
      <c r="G13" s="6" t="s">
        <v>576</v>
      </c>
      <c r="H13" s="6" t="s">
        <v>571</v>
      </c>
      <c r="I13" s="22" t="n">
        <v>799</v>
      </c>
      <c r="J13" s="6" t="n">
        <v>3</v>
      </c>
      <c r="K13" s="46" t="n">
        <v>0.08</v>
      </c>
      <c r="L13" s="6" t="s">
        <v>176</v>
      </c>
      <c r="M13" s="6" t="s">
        <v>69</v>
      </c>
      <c r="N13" s="6" t="s">
        <v>436</v>
      </c>
      <c r="O13" s="6" t="n">
        <v>4.4</v>
      </c>
      <c r="P13" s="22" t="n">
        <f aca="false">I13*J13</f>
        <v>2397</v>
      </c>
      <c r="Q13" s="22" t="n">
        <f aca="false">P13*K13</f>
        <v>191.76</v>
      </c>
      <c r="R13" s="22" t="n">
        <f aca="false">P13-Q13</f>
        <v>2205.24</v>
      </c>
      <c r="T13" s="6" t="s">
        <v>531</v>
      </c>
      <c r="U13" s="6" t="s">
        <v>577</v>
      </c>
    </row>
    <row r="14" customFormat="false" ht="15" hidden="false" customHeight="false" outlineLevel="0" collapsed="false">
      <c r="A14" s="6" t="s">
        <v>578</v>
      </c>
      <c r="B14" s="57" t="n">
        <v>46238</v>
      </c>
      <c r="C14" s="6" t="s">
        <v>468</v>
      </c>
      <c r="D14" s="6" t="s">
        <v>579</v>
      </c>
      <c r="E14" s="6" t="s">
        <v>535</v>
      </c>
      <c r="F14" s="6" t="s">
        <v>542</v>
      </c>
      <c r="G14" s="6" t="s">
        <v>580</v>
      </c>
      <c r="H14" s="6" t="s">
        <v>571</v>
      </c>
      <c r="I14" s="22" t="n">
        <v>1299</v>
      </c>
      <c r="J14" s="6" t="n">
        <v>2</v>
      </c>
      <c r="K14" s="46" t="n">
        <v>0.1</v>
      </c>
      <c r="L14" s="6" t="s">
        <v>103</v>
      </c>
      <c r="M14" s="6" t="s">
        <v>552</v>
      </c>
      <c r="N14" s="6" t="s">
        <v>436</v>
      </c>
      <c r="O14" s="6" t="n">
        <v>4.3</v>
      </c>
      <c r="P14" s="22" t="n">
        <f aca="false">I14*J14</f>
        <v>2598</v>
      </c>
      <c r="Q14" s="22" t="n">
        <f aca="false">P14*K14</f>
        <v>259.8</v>
      </c>
      <c r="R14" s="22" t="n">
        <f aca="false">P14-Q14</f>
        <v>2338.2</v>
      </c>
      <c r="T14" s="61" t="s">
        <v>581</v>
      </c>
      <c r="U14" s="6" t="s">
        <v>582</v>
      </c>
    </row>
    <row r="15" customFormat="false" ht="15" hidden="false" customHeight="false" outlineLevel="0" collapsed="false">
      <c r="A15" s="6" t="s">
        <v>583</v>
      </c>
      <c r="B15" s="57" t="n">
        <v>46239</v>
      </c>
      <c r="C15" s="6" t="s">
        <v>473</v>
      </c>
      <c r="D15" s="6" t="s">
        <v>584</v>
      </c>
      <c r="E15" s="6" t="s">
        <v>541</v>
      </c>
      <c r="F15" s="6" t="s">
        <v>56</v>
      </c>
      <c r="G15" s="6" t="s">
        <v>585</v>
      </c>
      <c r="H15" s="6" t="s">
        <v>571</v>
      </c>
      <c r="I15" s="22" t="n">
        <v>1499</v>
      </c>
      <c r="J15" s="6" t="n">
        <v>1</v>
      </c>
      <c r="K15" s="46" t="n">
        <v>0.18</v>
      </c>
      <c r="L15" s="6" t="s">
        <v>176</v>
      </c>
      <c r="M15" s="6" t="s">
        <v>69</v>
      </c>
      <c r="N15" s="6" t="s">
        <v>586</v>
      </c>
      <c r="O15" s="6" t="n">
        <v>3.9</v>
      </c>
      <c r="P15" s="22" t="n">
        <f aca="false">I15*J15</f>
        <v>1499</v>
      </c>
      <c r="Q15" s="22" t="n">
        <f aca="false">P15*K15</f>
        <v>269.82</v>
      </c>
      <c r="R15" s="22" t="n">
        <f aca="false">P15-Q15</f>
        <v>1229.18</v>
      </c>
      <c r="T15" s="62" t="s">
        <v>406</v>
      </c>
      <c r="U15" s="6" t="s">
        <v>587</v>
      </c>
    </row>
    <row r="16" customFormat="false" ht="15" hidden="false" customHeight="false" outlineLevel="0" collapsed="false">
      <c r="A16" s="6" t="s">
        <v>588</v>
      </c>
      <c r="B16" s="57" t="n">
        <v>46239</v>
      </c>
      <c r="C16" s="6" t="s">
        <v>478</v>
      </c>
      <c r="D16" s="6" t="s">
        <v>589</v>
      </c>
      <c r="E16" s="6" t="s">
        <v>549</v>
      </c>
      <c r="F16" s="6" t="s">
        <v>183</v>
      </c>
      <c r="G16" s="6" t="s">
        <v>590</v>
      </c>
      <c r="H16" s="6" t="s">
        <v>571</v>
      </c>
      <c r="I16" s="22" t="n">
        <v>899</v>
      </c>
      <c r="J16" s="6" t="n">
        <v>3</v>
      </c>
      <c r="K16" s="46" t="n">
        <v>0.06</v>
      </c>
      <c r="L16" s="6" t="s">
        <v>101</v>
      </c>
      <c r="M16" s="6" t="s">
        <v>552</v>
      </c>
      <c r="N16" s="6" t="s">
        <v>436</v>
      </c>
      <c r="O16" s="6" t="n">
        <v>4</v>
      </c>
      <c r="P16" s="22" t="n">
        <f aca="false">I16*J16</f>
        <v>2697</v>
      </c>
      <c r="Q16" s="22" t="n">
        <f aca="false">P16*K16</f>
        <v>161.82</v>
      </c>
      <c r="R16" s="22" t="n">
        <f aca="false">P16-Q16</f>
        <v>2535.18</v>
      </c>
    </row>
    <row r="17" customFormat="false" ht="15" hidden="false" customHeight="false" outlineLevel="0" collapsed="false">
      <c r="A17" s="6" t="s">
        <v>591</v>
      </c>
      <c r="B17" s="57" t="n">
        <v>46240</v>
      </c>
      <c r="C17" s="6" t="s">
        <v>592</v>
      </c>
      <c r="D17" s="6" t="s">
        <v>593</v>
      </c>
      <c r="E17" s="6" t="s">
        <v>557</v>
      </c>
      <c r="F17" s="6" t="s">
        <v>62</v>
      </c>
      <c r="G17" s="6" t="s">
        <v>594</v>
      </c>
      <c r="H17" s="6" t="s">
        <v>537</v>
      </c>
      <c r="I17" s="22" t="n">
        <v>1899</v>
      </c>
      <c r="J17" s="6" t="n">
        <v>2</v>
      </c>
      <c r="K17" s="46" t="n">
        <v>0.14</v>
      </c>
      <c r="L17" s="6" t="s">
        <v>103</v>
      </c>
      <c r="M17" s="6" t="s">
        <v>69</v>
      </c>
      <c r="N17" s="6" t="s">
        <v>436</v>
      </c>
      <c r="O17" s="6" t="n">
        <v>4.5</v>
      </c>
      <c r="P17" s="22" t="n">
        <f aca="false">I17*J17</f>
        <v>3798</v>
      </c>
      <c r="Q17" s="22" t="n">
        <f aca="false">P17*K17</f>
        <v>531.72</v>
      </c>
      <c r="R17" s="22" t="n">
        <f aca="false">P17-Q17</f>
        <v>3266.28</v>
      </c>
    </row>
    <row r="18" customFormat="false" ht="15" hidden="false" customHeight="false" outlineLevel="0" collapsed="false">
      <c r="A18" s="6" t="s">
        <v>595</v>
      </c>
      <c r="B18" s="57" t="n">
        <v>46240</v>
      </c>
      <c r="C18" s="6" t="s">
        <v>596</v>
      </c>
      <c r="D18" s="6" t="s">
        <v>597</v>
      </c>
      <c r="E18" s="6" t="s">
        <v>569</v>
      </c>
      <c r="F18" s="6" t="s">
        <v>56</v>
      </c>
      <c r="G18" s="6" t="s">
        <v>598</v>
      </c>
      <c r="H18" s="6" t="s">
        <v>599</v>
      </c>
      <c r="I18" s="22" t="n">
        <v>4999</v>
      </c>
      <c r="J18" s="6" t="n">
        <v>1</v>
      </c>
      <c r="K18" s="46" t="n">
        <v>0.25</v>
      </c>
      <c r="L18" s="6" t="s">
        <v>176</v>
      </c>
      <c r="M18" s="6" t="s">
        <v>69</v>
      </c>
      <c r="N18" s="6" t="s">
        <v>436</v>
      </c>
      <c r="O18" s="6" t="n">
        <v>4.8</v>
      </c>
      <c r="P18" s="22" t="n">
        <f aca="false">I18*J18</f>
        <v>4999</v>
      </c>
      <c r="Q18" s="22" t="n">
        <f aca="false">P18*K18</f>
        <v>1249.75</v>
      </c>
      <c r="R18" s="22" t="n">
        <f aca="false">P18-Q18</f>
        <v>3749.25</v>
      </c>
      <c r="T18" s="20" t="s">
        <v>600</v>
      </c>
    </row>
    <row r="19" customFormat="false" ht="15" hidden="false" customHeight="false" outlineLevel="0" collapsed="false">
      <c r="A19" s="6" t="s">
        <v>601</v>
      </c>
      <c r="B19" s="57" t="n">
        <v>46241</v>
      </c>
      <c r="C19" s="6" t="s">
        <v>602</v>
      </c>
      <c r="D19" s="6" t="s">
        <v>603</v>
      </c>
      <c r="E19" s="6" t="s">
        <v>574</v>
      </c>
      <c r="F19" s="6" t="s">
        <v>542</v>
      </c>
      <c r="G19" s="6" t="s">
        <v>604</v>
      </c>
      <c r="H19" s="6" t="s">
        <v>187</v>
      </c>
      <c r="I19" s="22" t="n">
        <v>1599</v>
      </c>
      <c r="J19" s="6" t="n">
        <v>2</v>
      </c>
      <c r="K19" s="46" t="n">
        <v>0.09</v>
      </c>
      <c r="L19" s="6" t="s">
        <v>103</v>
      </c>
      <c r="M19" s="6" t="s">
        <v>552</v>
      </c>
      <c r="N19" s="6" t="s">
        <v>436</v>
      </c>
      <c r="O19" s="6" t="n">
        <v>4.2</v>
      </c>
      <c r="P19" s="22" t="n">
        <f aca="false">I19*J19</f>
        <v>3198</v>
      </c>
      <c r="Q19" s="22" t="n">
        <f aca="false">P19*K19</f>
        <v>287.82</v>
      </c>
      <c r="R19" s="22" t="n">
        <f aca="false">P19-Q19</f>
        <v>2910.18</v>
      </c>
      <c r="T19" s="5" t="s">
        <v>149</v>
      </c>
      <c r="U19" s="5" t="s">
        <v>605</v>
      </c>
      <c r="V19" s="5" t="s">
        <v>606</v>
      </c>
      <c r="W19" s="21" t="s">
        <v>607</v>
      </c>
    </row>
    <row r="20" customFormat="false" ht="15" hidden="false" customHeight="false" outlineLevel="0" collapsed="false">
      <c r="A20" s="6" t="s">
        <v>608</v>
      </c>
      <c r="B20" s="57" t="n">
        <v>46241</v>
      </c>
      <c r="C20" s="6" t="s">
        <v>609</v>
      </c>
      <c r="D20" s="6" t="s">
        <v>610</v>
      </c>
      <c r="E20" s="6" t="s">
        <v>535</v>
      </c>
      <c r="F20" s="6" t="s">
        <v>183</v>
      </c>
      <c r="G20" s="6" t="s">
        <v>611</v>
      </c>
      <c r="H20" s="6" t="s">
        <v>559</v>
      </c>
      <c r="I20" s="22" t="n">
        <v>450</v>
      </c>
      <c r="J20" s="6" t="n">
        <v>5</v>
      </c>
      <c r="K20" s="46" t="n">
        <v>0.04</v>
      </c>
      <c r="L20" s="6" t="s">
        <v>101</v>
      </c>
      <c r="M20" s="6" t="s">
        <v>552</v>
      </c>
      <c r="N20" s="6" t="s">
        <v>436</v>
      </c>
      <c r="O20" s="6" t="n">
        <v>3.8</v>
      </c>
      <c r="P20" s="22" t="n">
        <f aca="false">I20*J20</f>
        <v>2250</v>
      </c>
      <c r="Q20" s="22" t="n">
        <f aca="false">P20*K20</f>
        <v>90</v>
      </c>
      <c r="R20" s="22" t="n">
        <f aca="false">P20-Q20</f>
        <v>2160</v>
      </c>
      <c r="T20" s="6" t="s">
        <v>540</v>
      </c>
      <c r="U20" s="6" t="n">
        <v>700</v>
      </c>
      <c r="V20" s="6" t="n">
        <v>500</v>
      </c>
      <c r="W20" s="23" t="n">
        <f aca="false">IFERROR(U20/V20-1,0)</f>
        <v>0.4</v>
      </c>
    </row>
    <row r="21" customFormat="false" ht="15" hidden="false" customHeight="false" outlineLevel="0" collapsed="false">
      <c r="A21" s="6" t="s">
        <v>612</v>
      </c>
      <c r="B21" s="57" t="n">
        <v>46242</v>
      </c>
      <c r="C21" s="6" t="s">
        <v>613</v>
      </c>
      <c r="D21" s="6" t="s">
        <v>614</v>
      </c>
      <c r="E21" s="6" t="s">
        <v>541</v>
      </c>
      <c r="F21" s="6" t="s">
        <v>575</v>
      </c>
      <c r="G21" s="6" t="s">
        <v>615</v>
      </c>
      <c r="H21" s="6" t="s">
        <v>616</v>
      </c>
      <c r="I21" s="22" t="n">
        <v>599</v>
      </c>
      <c r="J21" s="6" t="n">
        <v>4</v>
      </c>
      <c r="K21" s="46" t="n">
        <v>0.07</v>
      </c>
      <c r="L21" s="6" t="s">
        <v>176</v>
      </c>
      <c r="M21" s="6" t="s">
        <v>69</v>
      </c>
      <c r="N21" s="6" t="s">
        <v>447</v>
      </c>
      <c r="O21" s="6" t="n">
        <v>4.1</v>
      </c>
      <c r="P21" s="22" t="n">
        <f aca="false">I21*J21</f>
        <v>2396</v>
      </c>
      <c r="Q21" s="22" t="n">
        <f aca="false">P21*K21</f>
        <v>167.72</v>
      </c>
      <c r="R21" s="22" t="n">
        <f aca="false">P21-Q21</f>
        <v>2228.28</v>
      </c>
      <c r="T21" s="8" t="s">
        <v>278</v>
      </c>
      <c r="U21" s="8" t="n">
        <v>500</v>
      </c>
      <c r="V21" s="8" t="n">
        <v>459</v>
      </c>
      <c r="W21" s="25" t="n">
        <f aca="false">IFERROR(U21/V21-1,0)</f>
        <v>0.0893246187363834</v>
      </c>
    </row>
    <row r="22" customFormat="false" ht="15" hidden="false" customHeight="false" outlineLevel="0" collapsed="false">
      <c r="A22" s="6" t="s">
        <v>617</v>
      </c>
      <c r="B22" s="57" t="n">
        <v>46242</v>
      </c>
      <c r="C22" s="6" t="s">
        <v>618</v>
      </c>
      <c r="D22" s="6" t="s">
        <v>619</v>
      </c>
      <c r="E22" s="6" t="s">
        <v>549</v>
      </c>
      <c r="F22" s="6" t="s">
        <v>56</v>
      </c>
      <c r="G22" s="6" t="s">
        <v>620</v>
      </c>
      <c r="H22" s="6" t="s">
        <v>537</v>
      </c>
      <c r="I22" s="22" t="n">
        <v>1799</v>
      </c>
      <c r="J22" s="6" t="n">
        <v>2</v>
      </c>
      <c r="K22" s="46" t="n">
        <v>0.11</v>
      </c>
      <c r="L22" s="6" t="s">
        <v>103</v>
      </c>
      <c r="M22" s="6" t="s">
        <v>69</v>
      </c>
      <c r="N22" s="6" t="s">
        <v>447</v>
      </c>
      <c r="O22" s="6" t="n">
        <v>4.6</v>
      </c>
      <c r="P22" s="22" t="n">
        <f aca="false">I22*J22</f>
        <v>3598</v>
      </c>
      <c r="Q22" s="22" t="n">
        <f aca="false">P22*K22</f>
        <v>395.78</v>
      </c>
      <c r="R22" s="22" t="n">
        <f aca="false">P22-Q22</f>
        <v>3202.22</v>
      </c>
      <c r="T22" s="6" t="s">
        <v>584</v>
      </c>
      <c r="U22" s="6" t="n">
        <v>490</v>
      </c>
      <c r="V22" s="6" t="n">
        <v>373</v>
      </c>
      <c r="W22" s="23" t="n">
        <f aca="false">IFERROR(U22/V22-1,0)</f>
        <v>0.313672922252011</v>
      </c>
    </row>
    <row r="23" customFormat="false" ht="15" hidden="false" customHeight="false" outlineLevel="0" collapsed="false">
      <c r="A23" s="6" t="s">
        <v>621</v>
      </c>
      <c r="B23" s="57" t="n">
        <v>46243</v>
      </c>
      <c r="C23" s="6" t="s">
        <v>622</v>
      </c>
      <c r="D23" s="6" t="s">
        <v>623</v>
      </c>
      <c r="E23" s="6" t="s">
        <v>557</v>
      </c>
      <c r="F23" s="6" t="s">
        <v>62</v>
      </c>
      <c r="G23" s="6" t="s">
        <v>93</v>
      </c>
      <c r="H23" s="6" t="s">
        <v>624</v>
      </c>
      <c r="I23" s="22" t="n">
        <v>799</v>
      </c>
      <c r="J23" s="6" t="n">
        <v>5</v>
      </c>
      <c r="K23" s="46" t="n">
        <v>0.18</v>
      </c>
      <c r="L23" s="6" t="s">
        <v>103</v>
      </c>
      <c r="M23" s="6" t="s">
        <v>552</v>
      </c>
      <c r="N23" s="6" t="s">
        <v>447</v>
      </c>
      <c r="O23" s="6" t="n">
        <v>4.3</v>
      </c>
      <c r="P23" s="22" t="n">
        <f aca="false">I23*J23</f>
        <v>3995</v>
      </c>
      <c r="Q23" s="22" t="n">
        <f aca="false">P23*K23</f>
        <v>719.1</v>
      </c>
      <c r="R23" s="22" t="n">
        <f aca="false">P23-Q23</f>
        <v>3275.9</v>
      </c>
      <c r="T23" s="8" t="s">
        <v>597</v>
      </c>
      <c r="U23" s="8" t="n">
        <v>500</v>
      </c>
      <c r="V23" s="8" t="n">
        <v>381</v>
      </c>
      <c r="W23" s="25" t="n">
        <f aca="false">IFERROR(U23/V23-1,0)</f>
        <v>0.312335958005249</v>
      </c>
    </row>
    <row r="24" customFormat="false" ht="15" hidden="false" customHeight="false" outlineLevel="0" collapsed="false">
      <c r="A24" s="6" t="s">
        <v>625</v>
      </c>
      <c r="B24" s="57" t="n">
        <v>46243</v>
      </c>
      <c r="C24" s="6" t="s">
        <v>626</v>
      </c>
      <c r="D24" s="6" t="s">
        <v>627</v>
      </c>
      <c r="E24" s="6" t="s">
        <v>569</v>
      </c>
      <c r="F24" s="6" t="s">
        <v>542</v>
      </c>
      <c r="G24" s="6" t="s">
        <v>628</v>
      </c>
      <c r="H24" s="6" t="s">
        <v>629</v>
      </c>
      <c r="I24" s="22" t="n">
        <v>3499</v>
      </c>
      <c r="J24" s="6" t="n">
        <v>1</v>
      </c>
      <c r="K24" s="46" t="n">
        <v>0.16</v>
      </c>
      <c r="L24" s="6" t="s">
        <v>176</v>
      </c>
      <c r="M24" s="6" t="s">
        <v>69</v>
      </c>
      <c r="N24" s="6" t="s">
        <v>447</v>
      </c>
      <c r="O24" s="6" t="n">
        <v>2.9</v>
      </c>
      <c r="P24" s="22" t="n">
        <f aca="false">I24*J24</f>
        <v>3499</v>
      </c>
      <c r="Q24" s="22" t="n">
        <f aca="false">P24*K24</f>
        <v>559.84</v>
      </c>
      <c r="R24" s="22" t="n">
        <f aca="false">P24-Q24</f>
        <v>2939.16</v>
      </c>
      <c r="T24" s="6" t="s">
        <v>630</v>
      </c>
      <c r="U24" s="6" t="n">
        <v>297</v>
      </c>
      <c r="V24" s="6" t="n">
        <v>209</v>
      </c>
      <c r="W24" s="23" t="n">
        <f aca="false">IFERROR(U24/V24-1,0)</f>
        <v>0.421052631578947</v>
      </c>
    </row>
    <row r="25" customFormat="false" ht="15" hidden="false" customHeight="false" outlineLevel="0" collapsed="false">
      <c r="A25" s="6" t="s">
        <v>631</v>
      </c>
      <c r="B25" s="57" t="n">
        <v>46244</v>
      </c>
      <c r="C25" s="6" t="s">
        <v>632</v>
      </c>
      <c r="D25" s="6" t="s">
        <v>633</v>
      </c>
      <c r="E25" s="6" t="s">
        <v>574</v>
      </c>
      <c r="F25" s="6" t="s">
        <v>56</v>
      </c>
      <c r="G25" s="6" t="s">
        <v>634</v>
      </c>
      <c r="H25" s="6" t="s">
        <v>537</v>
      </c>
      <c r="I25" s="22" t="n">
        <v>1299</v>
      </c>
      <c r="J25" s="6" t="n">
        <v>3</v>
      </c>
      <c r="K25" s="46" t="n">
        <v>0.07</v>
      </c>
      <c r="L25" s="6" t="s">
        <v>103</v>
      </c>
      <c r="M25" s="6" t="s">
        <v>69</v>
      </c>
      <c r="N25" s="6" t="s">
        <v>447</v>
      </c>
      <c r="O25" s="6" t="n">
        <v>4.4</v>
      </c>
      <c r="P25" s="22" t="n">
        <f aca="false">I25*J25</f>
        <v>3897</v>
      </c>
      <c r="Q25" s="22" t="n">
        <f aca="false">P25*K25</f>
        <v>272.79</v>
      </c>
      <c r="R25" s="22" t="n">
        <f aca="false">P25-Q25</f>
        <v>3624.21</v>
      </c>
      <c r="T25" s="8" t="s">
        <v>548</v>
      </c>
      <c r="U25" s="8" t="n">
        <v>144</v>
      </c>
      <c r="V25" s="8" t="n">
        <v>293</v>
      </c>
      <c r="W25" s="25" t="n">
        <f aca="false">IFERROR(U25/V25-1,0)</f>
        <v>-0.508532423208191</v>
      </c>
    </row>
    <row r="26" customFormat="false" ht="15" hidden="false" customHeight="false" outlineLevel="0" collapsed="false">
      <c r="A26" s="6" t="s">
        <v>635</v>
      </c>
      <c r="B26" s="57" t="n">
        <v>46244</v>
      </c>
      <c r="C26" s="6" t="s">
        <v>636</v>
      </c>
      <c r="D26" s="6" t="s">
        <v>637</v>
      </c>
      <c r="E26" s="6" t="s">
        <v>535</v>
      </c>
      <c r="F26" s="6" t="s">
        <v>575</v>
      </c>
      <c r="G26" s="6" t="s">
        <v>638</v>
      </c>
      <c r="H26" s="6" t="s">
        <v>639</v>
      </c>
      <c r="I26" s="22" t="n">
        <v>699</v>
      </c>
      <c r="J26" s="6" t="n">
        <v>4</v>
      </c>
      <c r="K26" s="46" t="n">
        <v>0.12</v>
      </c>
      <c r="L26" s="6" t="s">
        <v>176</v>
      </c>
      <c r="M26" s="6" t="s">
        <v>552</v>
      </c>
      <c r="N26" s="6" t="s">
        <v>447</v>
      </c>
      <c r="O26" s="6" t="n">
        <v>4.5</v>
      </c>
      <c r="P26" s="22" t="n">
        <f aca="false">I26*J26</f>
        <v>2796</v>
      </c>
      <c r="Q26" s="22" t="n">
        <f aca="false">P26*K26</f>
        <v>335.52</v>
      </c>
      <c r="R26" s="22" t="n">
        <f aca="false">P26-Q26</f>
        <v>2460.48</v>
      </c>
      <c r="T26" s="6" t="s">
        <v>556</v>
      </c>
      <c r="U26" s="6" t="n">
        <v>361</v>
      </c>
      <c r="V26" s="6" t="n">
        <v>530</v>
      </c>
      <c r="W26" s="23" t="n">
        <f aca="false">IFERROR(U26/V26-1,0)</f>
        <v>-0.318867924528302</v>
      </c>
    </row>
    <row r="27" customFormat="false" ht="15" hidden="false" customHeight="false" outlineLevel="0" collapsed="false">
      <c r="A27" s="6" t="s">
        <v>640</v>
      </c>
      <c r="B27" s="57" t="n">
        <v>46245</v>
      </c>
      <c r="C27" s="6" t="s">
        <v>641</v>
      </c>
      <c r="D27" s="6" t="s">
        <v>642</v>
      </c>
      <c r="E27" s="6" t="s">
        <v>541</v>
      </c>
      <c r="F27" s="6" t="s">
        <v>183</v>
      </c>
      <c r="G27" s="6" t="s">
        <v>643</v>
      </c>
      <c r="H27" s="6" t="s">
        <v>644</v>
      </c>
      <c r="I27" s="22" t="n">
        <v>999</v>
      </c>
      <c r="J27" s="6" t="n">
        <v>2</v>
      </c>
      <c r="K27" s="46" t="n">
        <v>0.05</v>
      </c>
      <c r="L27" s="6" t="s">
        <v>103</v>
      </c>
      <c r="M27" s="6" t="s">
        <v>69</v>
      </c>
      <c r="N27" s="6" t="s">
        <v>436</v>
      </c>
      <c r="O27" s="6" t="n">
        <v>4</v>
      </c>
      <c r="P27" s="22" t="n">
        <f aca="false">I27*J27</f>
        <v>1998</v>
      </c>
      <c r="Q27" s="22" t="n">
        <f aca="false">P27*K27</f>
        <v>99.9</v>
      </c>
      <c r="R27" s="22" t="n">
        <f aca="false">P27-Q27</f>
        <v>1898.1</v>
      </c>
      <c r="T27" s="8" t="s">
        <v>563</v>
      </c>
      <c r="U27" s="8" t="n">
        <v>258</v>
      </c>
      <c r="V27" s="8" t="n">
        <v>266</v>
      </c>
      <c r="W27" s="25" t="n">
        <f aca="false">IFERROR(U27/V27-1,0)</f>
        <v>-0.0300751879699248</v>
      </c>
    </row>
    <row r="28" customFormat="false" ht="15" hidden="false" customHeight="false" outlineLevel="0" collapsed="false">
      <c r="A28" s="6" t="s">
        <v>645</v>
      </c>
      <c r="B28" s="57" t="n">
        <v>46245</v>
      </c>
      <c r="C28" s="6" t="s">
        <v>646</v>
      </c>
      <c r="D28" s="6" t="s">
        <v>647</v>
      </c>
      <c r="E28" s="6" t="s">
        <v>549</v>
      </c>
      <c r="F28" s="6" t="s">
        <v>62</v>
      </c>
      <c r="G28" s="6" t="s">
        <v>648</v>
      </c>
      <c r="H28" s="6" t="s">
        <v>624</v>
      </c>
      <c r="I28" s="22" t="n">
        <v>1399</v>
      </c>
      <c r="J28" s="6" t="n">
        <v>2</v>
      </c>
      <c r="K28" s="46" t="n">
        <v>0.16</v>
      </c>
      <c r="L28" s="6" t="s">
        <v>176</v>
      </c>
      <c r="M28" s="6" t="s">
        <v>69</v>
      </c>
      <c r="N28" s="6" t="s">
        <v>586</v>
      </c>
      <c r="O28" s="6" t="n">
        <v>4.2</v>
      </c>
      <c r="P28" s="22" t="n">
        <f aca="false">I28*J28</f>
        <v>2798</v>
      </c>
      <c r="Q28" s="22" t="n">
        <f aca="false">P28*K28</f>
        <v>447.68</v>
      </c>
      <c r="R28" s="22" t="n">
        <f aca="false">P28-Q28</f>
        <v>2350.32</v>
      </c>
      <c r="T28" s="6" t="s">
        <v>350</v>
      </c>
      <c r="U28" s="6" t="n">
        <v>380</v>
      </c>
      <c r="V28" s="6" t="n">
        <v>527</v>
      </c>
      <c r="W28" s="23" t="n">
        <f aca="false">IFERROR(U28/V28-1,0)</f>
        <v>-0.278937381404175</v>
      </c>
    </row>
    <row r="29" customFormat="false" ht="15" hidden="false" customHeight="false" outlineLevel="0" collapsed="false">
      <c r="A29" s="6" t="s">
        <v>649</v>
      </c>
      <c r="B29" s="57" t="n">
        <v>46246</v>
      </c>
      <c r="C29" s="6" t="s">
        <v>650</v>
      </c>
      <c r="D29" s="6" t="s">
        <v>651</v>
      </c>
      <c r="E29" s="6" t="s">
        <v>557</v>
      </c>
      <c r="F29" s="6" t="s">
        <v>542</v>
      </c>
      <c r="G29" s="6" t="s">
        <v>652</v>
      </c>
      <c r="H29" s="6" t="s">
        <v>629</v>
      </c>
      <c r="I29" s="22" t="n">
        <v>1599</v>
      </c>
      <c r="J29" s="6" t="n">
        <v>1</v>
      </c>
      <c r="K29" s="46" t="n">
        <v>0.13</v>
      </c>
      <c r="L29" s="6" t="s">
        <v>103</v>
      </c>
      <c r="M29" s="6" t="s">
        <v>552</v>
      </c>
      <c r="N29" s="6" t="s">
        <v>436</v>
      </c>
      <c r="O29" s="6" t="n">
        <v>4.6</v>
      </c>
      <c r="P29" s="22" t="n">
        <f aca="false">I29*J29</f>
        <v>1599</v>
      </c>
      <c r="Q29" s="22" t="n">
        <f aca="false">P29*K29</f>
        <v>207.87</v>
      </c>
      <c r="R29" s="22" t="n">
        <f aca="false">P29-Q29</f>
        <v>1391.13</v>
      </c>
      <c r="T29" s="8" t="s">
        <v>579</v>
      </c>
      <c r="U29" s="8" t="n">
        <v>131</v>
      </c>
      <c r="V29" s="8" t="n">
        <v>284</v>
      </c>
      <c r="W29" s="25" t="n">
        <f aca="false">IFERROR(U29/V29-1,0)</f>
        <v>-0.538732394366197</v>
      </c>
    </row>
    <row r="30" customFormat="false" ht="15" hidden="false" customHeight="false" outlineLevel="0" collapsed="false">
      <c r="A30" s="6" t="s">
        <v>653</v>
      </c>
      <c r="B30" s="57" t="n">
        <v>46246</v>
      </c>
      <c r="C30" s="6" t="s">
        <v>654</v>
      </c>
      <c r="D30" s="6" t="s">
        <v>655</v>
      </c>
      <c r="E30" s="6" t="s">
        <v>569</v>
      </c>
      <c r="F30" s="6" t="s">
        <v>56</v>
      </c>
      <c r="G30" s="6" t="s">
        <v>656</v>
      </c>
      <c r="H30" s="6" t="s">
        <v>571</v>
      </c>
      <c r="I30" s="22" t="n">
        <v>2999</v>
      </c>
      <c r="J30" s="6" t="n">
        <v>2</v>
      </c>
      <c r="K30" s="46" t="n">
        <v>0.22</v>
      </c>
      <c r="L30" s="6" t="s">
        <v>176</v>
      </c>
      <c r="M30" s="6" t="s">
        <v>69</v>
      </c>
      <c r="N30" s="6" t="s">
        <v>436</v>
      </c>
      <c r="O30" s="6" t="n">
        <v>4.7</v>
      </c>
      <c r="P30" s="22" t="n">
        <f aca="false">I30*J30</f>
        <v>5998</v>
      </c>
      <c r="Q30" s="22" t="n">
        <f aca="false">P30*K30</f>
        <v>1319.56</v>
      </c>
      <c r="R30" s="22" t="n">
        <f aca="false">P30-Q30</f>
        <v>4678.44</v>
      </c>
      <c r="T30" s="6" t="s">
        <v>589</v>
      </c>
      <c r="U30" s="6" t="n">
        <v>137</v>
      </c>
      <c r="V30" s="6" t="n">
        <v>319</v>
      </c>
      <c r="W30" s="23" t="n">
        <f aca="false">IFERROR(U30/V30-1,0)</f>
        <v>-0.570532915360502</v>
      </c>
    </row>
    <row r="31" customFormat="false" ht="15" hidden="false" customHeight="false" outlineLevel="0" collapsed="false">
      <c r="A31" s="6" t="s">
        <v>657</v>
      </c>
      <c r="B31" s="57" t="n">
        <v>46247</v>
      </c>
      <c r="C31" s="6" t="s">
        <v>658</v>
      </c>
      <c r="D31" s="6" t="s">
        <v>659</v>
      </c>
      <c r="E31" s="6" t="s">
        <v>574</v>
      </c>
      <c r="F31" s="6" t="s">
        <v>183</v>
      </c>
      <c r="G31" s="6" t="s">
        <v>660</v>
      </c>
      <c r="H31" s="6" t="s">
        <v>571</v>
      </c>
      <c r="I31" s="22" t="n">
        <v>899</v>
      </c>
      <c r="J31" s="6" t="n">
        <v>3</v>
      </c>
      <c r="K31" s="46" t="n">
        <v>0.08</v>
      </c>
      <c r="L31" s="6" t="s">
        <v>101</v>
      </c>
      <c r="M31" s="6" t="s">
        <v>552</v>
      </c>
      <c r="N31" s="6" t="s">
        <v>436</v>
      </c>
      <c r="O31" s="6" t="n">
        <v>3.7</v>
      </c>
      <c r="P31" s="22" t="n">
        <f aca="false">I31*J31</f>
        <v>2697</v>
      </c>
      <c r="Q31" s="22" t="n">
        <f aca="false">P31*K31</f>
        <v>215.76</v>
      </c>
      <c r="R31" s="22" t="n">
        <f aca="false">P31-Q31</f>
        <v>2481.24</v>
      </c>
      <c r="T31" s="8" t="s">
        <v>593</v>
      </c>
      <c r="U31" s="8" t="n">
        <v>360</v>
      </c>
      <c r="V31" s="8" t="n">
        <v>508</v>
      </c>
      <c r="W31" s="25" t="n">
        <f aca="false">IFERROR(U31/V31-1,0)</f>
        <v>-0.291338582677165</v>
      </c>
    </row>
    <row r="32" customFormat="false" ht="15" hidden="false" customHeight="false" outlineLevel="0" collapsed="false">
      <c r="A32" s="6" t="s">
        <v>661</v>
      </c>
      <c r="B32" s="57" t="n">
        <v>46247</v>
      </c>
      <c r="C32" s="6" t="s">
        <v>662</v>
      </c>
      <c r="D32" s="6" t="s">
        <v>663</v>
      </c>
      <c r="E32" s="6" t="s">
        <v>535</v>
      </c>
      <c r="F32" s="6" t="s">
        <v>62</v>
      </c>
      <c r="G32" s="6" t="s">
        <v>87</v>
      </c>
      <c r="H32" s="6" t="s">
        <v>571</v>
      </c>
      <c r="I32" s="22" t="n">
        <v>3299</v>
      </c>
      <c r="J32" s="6" t="n">
        <v>1</v>
      </c>
      <c r="K32" s="46" t="n">
        <v>0.19</v>
      </c>
      <c r="L32" s="6" t="s">
        <v>103</v>
      </c>
      <c r="M32" s="6" t="s">
        <v>69</v>
      </c>
      <c r="N32" s="6" t="s">
        <v>436</v>
      </c>
      <c r="O32" s="6" t="n">
        <v>4.8</v>
      </c>
      <c r="P32" s="22" t="n">
        <f aca="false">I32*J32</f>
        <v>3299</v>
      </c>
      <c r="Q32" s="22" t="n">
        <f aca="false">P32*K32</f>
        <v>626.81</v>
      </c>
      <c r="R32" s="22" t="n">
        <f aca="false">P32-Q32</f>
        <v>2672.19</v>
      </c>
    </row>
    <row r="33" customFormat="false" ht="15" hidden="false" customHeight="false" outlineLevel="0" collapsed="false">
      <c r="A33" s="6" t="s">
        <v>664</v>
      </c>
      <c r="B33" s="57" t="n">
        <v>46248</v>
      </c>
      <c r="C33" s="6" t="s">
        <v>665</v>
      </c>
      <c r="D33" s="6" t="s">
        <v>666</v>
      </c>
      <c r="E33" s="6" t="s">
        <v>541</v>
      </c>
      <c r="F33" s="6" t="s">
        <v>575</v>
      </c>
      <c r="G33" s="6" t="s">
        <v>667</v>
      </c>
      <c r="H33" s="6" t="s">
        <v>571</v>
      </c>
      <c r="I33" s="22" t="n">
        <v>749</v>
      </c>
      <c r="J33" s="6" t="n">
        <v>3</v>
      </c>
      <c r="K33" s="46" t="n">
        <v>0.09</v>
      </c>
      <c r="L33" s="6" t="s">
        <v>176</v>
      </c>
      <c r="M33" s="6" t="s">
        <v>69</v>
      </c>
      <c r="N33" s="6" t="s">
        <v>436</v>
      </c>
      <c r="O33" s="6" t="n">
        <v>4.3</v>
      </c>
      <c r="P33" s="22" t="n">
        <f aca="false">I33*J33</f>
        <v>2247</v>
      </c>
      <c r="Q33" s="22" t="n">
        <f aca="false">P33*K33</f>
        <v>202.23</v>
      </c>
      <c r="R33" s="22" t="n">
        <f aca="false">P33-Q33</f>
        <v>2044.77</v>
      </c>
    </row>
    <row r="34" customFormat="false" ht="15" hidden="false" customHeight="false" outlineLevel="0" collapsed="false">
      <c r="A34" s="6" t="s">
        <v>668</v>
      </c>
      <c r="B34" s="57" t="n">
        <v>46248</v>
      </c>
      <c r="C34" s="6" t="s">
        <v>669</v>
      </c>
      <c r="D34" s="6" t="s">
        <v>670</v>
      </c>
      <c r="E34" s="6" t="s">
        <v>549</v>
      </c>
      <c r="F34" s="6" t="s">
        <v>542</v>
      </c>
      <c r="G34" s="6" t="s">
        <v>671</v>
      </c>
      <c r="H34" s="6" t="s">
        <v>571</v>
      </c>
      <c r="I34" s="22" t="n">
        <v>999</v>
      </c>
      <c r="J34" s="6" t="n">
        <v>4</v>
      </c>
      <c r="K34" s="46" t="n">
        <v>0.06</v>
      </c>
      <c r="L34" s="6" t="s">
        <v>103</v>
      </c>
      <c r="M34" s="6" t="s">
        <v>552</v>
      </c>
      <c r="N34" s="6" t="s">
        <v>436</v>
      </c>
      <c r="O34" s="6" t="n">
        <v>4.1</v>
      </c>
      <c r="P34" s="22" t="n">
        <f aca="false">I34*J34</f>
        <v>3996</v>
      </c>
      <c r="Q34" s="22" t="n">
        <f aca="false">P34*K34</f>
        <v>239.76</v>
      </c>
      <c r="R34" s="22" t="n">
        <f aca="false">P34-Q34</f>
        <v>3756.24</v>
      </c>
    </row>
    <row r="35" customFormat="false" ht="15" hidden="false" customHeight="false" outlineLevel="0" collapsed="false">
      <c r="A35" s="6" t="s">
        <v>672</v>
      </c>
      <c r="B35" s="57" t="n">
        <v>46249</v>
      </c>
      <c r="C35" s="6" t="s">
        <v>673</v>
      </c>
      <c r="D35" s="6" t="s">
        <v>674</v>
      </c>
      <c r="E35" s="6" t="s">
        <v>557</v>
      </c>
      <c r="F35" s="6" t="s">
        <v>56</v>
      </c>
      <c r="G35" s="6" t="s">
        <v>675</v>
      </c>
      <c r="H35" s="6" t="s">
        <v>571</v>
      </c>
      <c r="I35" s="22" t="n">
        <v>1999</v>
      </c>
      <c r="J35" s="6" t="n">
        <v>2</v>
      </c>
      <c r="K35" s="46" t="n">
        <v>0.15</v>
      </c>
      <c r="L35" s="6" t="s">
        <v>176</v>
      </c>
      <c r="M35" s="6" t="s">
        <v>69</v>
      </c>
      <c r="N35" s="6" t="s">
        <v>447</v>
      </c>
      <c r="O35" s="6" t="n">
        <v>0</v>
      </c>
      <c r="P35" s="22" t="n">
        <f aca="false">I35*J35</f>
        <v>3998</v>
      </c>
      <c r="Q35" s="22" t="n">
        <f aca="false">P35*K35</f>
        <v>599.7</v>
      </c>
      <c r="R35" s="22" t="n">
        <f aca="false">P35-Q35</f>
        <v>3398.3</v>
      </c>
    </row>
    <row r="36" customFormat="false" ht="15" hidden="false" customHeight="false" outlineLevel="0" collapsed="false">
      <c r="A36" s="6" t="s">
        <v>676</v>
      </c>
      <c r="B36" s="57" t="n">
        <v>46249</v>
      </c>
      <c r="C36" s="6" t="s">
        <v>677</v>
      </c>
      <c r="D36" s="6" t="s">
        <v>678</v>
      </c>
      <c r="E36" s="6" t="s">
        <v>569</v>
      </c>
      <c r="F36" s="6" t="s">
        <v>62</v>
      </c>
      <c r="G36" s="6" t="s">
        <v>679</v>
      </c>
      <c r="H36" s="6" t="s">
        <v>624</v>
      </c>
      <c r="I36" s="22" t="n">
        <v>1799</v>
      </c>
      <c r="J36" s="6" t="n">
        <v>2</v>
      </c>
      <c r="K36" s="46" t="n">
        <v>0.13</v>
      </c>
      <c r="L36" s="6" t="s">
        <v>103</v>
      </c>
      <c r="M36" s="6" t="s">
        <v>552</v>
      </c>
      <c r="N36" s="6" t="s">
        <v>436</v>
      </c>
      <c r="O36" s="6" t="n">
        <v>4.4</v>
      </c>
      <c r="P36" s="22" t="n">
        <f aca="false">I36*J36</f>
        <v>3598</v>
      </c>
      <c r="Q36" s="22" t="n">
        <f aca="false">P36*K36</f>
        <v>467.74</v>
      </c>
      <c r="R36" s="22" t="n">
        <f aca="false">P36-Q36</f>
        <v>3130.26</v>
      </c>
    </row>
    <row r="37" customFormat="false" ht="15" hidden="false" customHeight="false" outlineLevel="0" collapsed="false">
      <c r="A37" s="6" t="s">
        <v>680</v>
      </c>
      <c r="B37" s="57" t="n">
        <v>46250</v>
      </c>
      <c r="C37" s="6" t="s">
        <v>681</v>
      </c>
      <c r="D37" s="6" t="s">
        <v>682</v>
      </c>
      <c r="E37" s="6" t="s">
        <v>574</v>
      </c>
      <c r="F37" s="6" t="s">
        <v>183</v>
      </c>
      <c r="G37" s="6" t="s">
        <v>683</v>
      </c>
      <c r="H37" s="6" t="s">
        <v>644</v>
      </c>
      <c r="I37" s="22" t="n">
        <v>1299</v>
      </c>
      <c r="J37" s="6" t="n">
        <v>2</v>
      </c>
      <c r="K37" s="46" t="n">
        <v>0.11</v>
      </c>
      <c r="L37" s="6" t="s">
        <v>176</v>
      </c>
      <c r="M37" s="6" t="s">
        <v>69</v>
      </c>
      <c r="N37" s="6" t="s">
        <v>436</v>
      </c>
      <c r="O37" s="6" t="n">
        <v>4.5</v>
      </c>
      <c r="P37" s="22" t="n">
        <f aca="false">I37*J37</f>
        <v>2598</v>
      </c>
      <c r="Q37" s="22" t="n">
        <f aca="false">P37*K37</f>
        <v>285.78</v>
      </c>
      <c r="R37" s="22" t="n">
        <f aca="false">P37-Q37</f>
        <v>2312.22</v>
      </c>
    </row>
    <row r="38" customFormat="false" ht="15" hidden="false" customHeight="false" outlineLevel="0" collapsed="false">
      <c r="A38" s="6" t="s">
        <v>684</v>
      </c>
      <c r="B38" s="57" t="n">
        <v>46250</v>
      </c>
      <c r="C38" s="6" t="s">
        <v>685</v>
      </c>
      <c r="D38" s="6" t="s">
        <v>686</v>
      </c>
      <c r="E38" s="6" t="s">
        <v>535</v>
      </c>
      <c r="F38" s="6" t="s">
        <v>56</v>
      </c>
      <c r="G38" s="6" t="s">
        <v>687</v>
      </c>
      <c r="H38" s="6" t="s">
        <v>688</v>
      </c>
      <c r="I38" s="22" t="n">
        <v>12999</v>
      </c>
      <c r="J38" s="6" t="n">
        <v>1</v>
      </c>
      <c r="K38" s="46" t="n">
        <v>0.3</v>
      </c>
      <c r="L38" s="6" t="s">
        <v>176</v>
      </c>
      <c r="M38" s="6" t="s">
        <v>69</v>
      </c>
      <c r="N38" s="6" t="s">
        <v>436</v>
      </c>
      <c r="O38" s="6" t="n">
        <v>4.9</v>
      </c>
      <c r="P38" s="22" t="n">
        <f aca="false">I38*J38</f>
        <v>12999</v>
      </c>
      <c r="Q38" s="22" t="n">
        <f aca="false">P38*K38</f>
        <v>3899.7</v>
      </c>
      <c r="R38" s="22" t="n">
        <f aca="false">P38-Q38</f>
        <v>9099.3</v>
      </c>
    </row>
    <row r="39" customFormat="false" ht="15" hidden="false" customHeight="false" outlineLevel="0" collapsed="false">
      <c r="A39" s="6" t="s">
        <v>689</v>
      </c>
      <c r="B39" s="57" t="n">
        <v>46251</v>
      </c>
      <c r="C39" s="6" t="s">
        <v>690</v>
      </c>
      <c r="D39" s="6" t="s">
        <v>691</v>
      </c>
      <c r="E39" s="6" t="s">
        <v>541</v>
      </c>
      <c r="F39" s="6" t="s">
        <v>62</v>
      </c>
      <c r="G39" s="6" t="s">
        <v>692</v>
      </c>
      <c r="H39" s="6" t="s">
        <v>537</v>
      </c>
      <c r="I39" s="22" t="n">
        <v>1599</v>
      </c>
      <c r="J39" s="6" t="n">
        <v>3</v>
      </c>
      <c r="K39" s="46" t="n">
        <v>0.17</v>
      </c>
      <c r="L39" s="6" t="s">
        <v>103</v>
      </c>
      <c r="M39" s="6" t="s">
        <v>69</v>
      </c>
      <c r="N39" s="6" t="s">
        <v>436</v>
      </c>
      <c r="O39" s="6" t="n">
        <v>4.2</v>
      </c>
      <c r="P39" s="22" t="n">
        <f aca="false">I39*J39</f>
        <v>4797</v>
      </c>
      <c r="Q39" s="22" t="n">
        <f aca="false">P39*K39</f>
        <v>815.49</v>
      </c>
      <c r="R39" s="22" t="n">
        <f aca="false">P39-Q39</f>
        <v>3981.51</v>
      </c>
    </row>
    <row r="40" customFormat="false" ht="15" hidden="false" customHeight="false" outlineLevel="0" collapsed="false">
      <c r="A40" s="6" t="s">
        <v>693</v>
      </c>
      <c r="B40" s="57" t="n">
        <v>46251</v>
      </c>
      <c r="C40" s="6" t="s">
        <v>694</v>
      </c>
      <c r="D40" s="6" t="s">
        <v>695</v>
      </c>
      <c r="E40" s="6" t="s">
        <v>549</v>
      </c>
      <c r="F40" s="6" t="s">
        <v>575</v>
      </c>
      <c r="G40" s="6" t="s">
        <v>696</v>
      </c>
      <c r="H40" s="6" t="s">
        <v>571</v>
      </c>
      <c r="I40" s="22" t="n">
        <v>899</v>
      </c>
      <c r="J40" s="6" t="n">
        <v>2</v>
      </c>
      <c r="K40" s="46" t="n">
        <v>0.1</v>
      </c>
      <c r="L40" s="6" t="s">
        <v>103</v>
      </c>
      <c r="M40" s="6" t="s">
        <v>552</v>
      </c>
      <c r="N40" s="6" t="s">
        <v>436</v>
      </c>
      <c r="O40" s="6" t="n">
        <v>4.6</v>
      </c>
      <c r="P40" s="22" t="n">
        <f aca="false">I40*J40</f>
        <v>1798</v>
      </c>
      <c r="Q40" s="22" t="n">
        <f aca="false">P40*K40</f>
        <v>179.8</v>
      </c>
      <c r="R40" s="22" t="n">
        <f aca="false">P40-Q40</f>
        <v>1618.2</v>
      </c>
    </row>
    <row r="41" customFormat="false" ht="15" hidden="false" customHeight="false" outlineLevel="0" collapsed="false">
      <c r="A41" s="6" t="s">
        <v>697</v>
      </c>
      <c r="B41" s="57" t="n">
        <v>46252</v>
      </c>
      <c r="C41" s="6" t="s">
        <v>698</v>
      </c>
      <c r="D41" s="6" t="s">
        <v>699</v>
      </c>
      <c r="E41" s="6" t="s">
        <v>557</v>
      </c>
      <c r="F41" s="6" t="s">
        <v>542</v>
      </c>
      <c r="G41" s="6" t="s">
        <v>700</v>
      </c>
      <c r="H41" s="6" t="s">
        <v>571</v>
      </c>
      <c r="I41" s="22" t="n">
        <v>2299</v>
      </c>
      <c r="J41" s="6" t="n">
        <v>1</v>
      </c>
      <c r="K41" s="46" t="n">
        <v>0.14</v>
      </c>
      <c r="L41" s="6" t="s">
        <v>176</v>
      </c>
      <c r="M41" s="6" t="s">
        <v>69</v>
      </c>
      <c r="N41" s="6" t="s">
        <v>701</v>
      </c>
      <c r="O41" s="6" t="n">
        <v>3.1</v>
      </c>
      <c r="P41" s="22" t="n">
        <f aca="false">I41*J41</f>
        <v>2299</v>
      </c>
      <c r="Q41" s="22" t="n">
        <f aca="false">P41*K41</f>
        <v>321.86</v>
      </c>
      <c r="R41" s="22" t="n">
        <f aca="false">P41-Q41</f>
        <v>1977.14</v>
      </c>
    </row>
  </sheetData>
  <conditionalFormatting sqref="J7:J41">
    <cfRule type="expression" priority="2" aboveAverage="0" equalAverage="0" bottom="0" percent="0" rank="0" text="" dxfId="6">
      <formula>$J7&gt;=4</formula>
    </cfRule>
  </conditionalFormatting>
  <conditionalFormatting sqref="K7:K41">
    <cfRule type="expression" priority="3" aboveAverage="0" equalAverage="0" bottom="0" percent="0" rank="0" text="" dxfId="5">
      <formula>$K7&gt;=20%</formula>
    </cfRule>
  </conditionalFormatting>
  <conditionalFormatting sqref="N7:N41">
    <cfRule type="expression" priority="4" aboveAverage="0" equalAverage="0" bottom="0" percent="0" rank="0" text="" dxfId="7">
      <formula>$N7="Cancelled"</formula>
    </cfRule>
    <cfRule type="expression" priority="5" aboveAverage="0" equalAverage="0" bottom="0" percent="0" rank="0" text="" dxfId="8">
      <formula>$N7="Returned"</formula>
    </cfRule>
  </conditionalFormatting>
  <conditionalFormatting sqref="O7:O41">
    <cfRule type="iconSet" priority="6">
      <iconSet iconSet="3Arrows">
        <cfvo type="num" val="0"/>
        <cfvo type="num" val="4"/>
        <cfvo type="num" val="4.5"/>
      </iconSet>
    </cfRule>
  </conditionalFormatting>
  <conditionalFormatting sqref="R7:R41">
    <cfRule type="dataBar" priority="7">
      <dataBar showValue="1" minLength="10" maxLength="90">
        <cfvo type="min" val="0"/>
        <cfvo type="max" val="0"/>
        <color rgb="FF5B9BD5"/>
      </dataBar>
      <extLst>
        <ext xmlns:x14="http://schemas.microsoft.com/office/spreadsheetml/2009/9/main" uri="{B025F937-C7B1-47D3-B67F-A62EFF666E3E}">
          <x14:id>{6035C1B9-D95C-451F-B1BA-F857583FE7AE}</x14:id>
        </ext>
      </extLst>
    </cfRule>
    <cfRule type="expression" priority="8" aboveAverage="0" equalAverage="0" bottom="0" percent="0" rank="0" text="" dxfId="9">
      <formula>$R7&gt;1800</formula>
    </cfRule>
  </conditionalFormatting>
  <conditionalFormatting sqref="C7:C41">
    <cfRule type="duplicateValues" priority="9" aboveAverage="0" equalAverage="0" bottom="0" percent="0" rank="0" text="" dxfId="10"/>
  </conditionalFormatting>
  <conditionalFormatting sqref="W20:W31">
    <cfRule type="iconSet" priority="10">
      <iconSet iconSet="3Arrows">
        <cfvo type="num" val="-1000"/>
        <cfvo type="num" val="0"/>
        <cfvo type="num" val="0.2"/>
      </iconSe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035C1B9-D95C-451F-B1BA-F857583FE7AE}">
            <x14:dataBar minLength="10" maxLength="90" axisPosition="none" gradient="true">
              <x14:cfvo type="min"/>
              <x14:cfvo type="max"/>
              <x14:negativeFillColor rgb="FF5B9BD5"/>
              <x14:axisColor rgb="FF000000"/>
            </x14:dataBar>
          </x14:cfRule>
          <xm:sqref>R7:R41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2026-10-06T14:54:14Z</dcterms:created>
  <dc:creator>Saideepak Ramarangula</dc:creator>
  <dc:description/>
  <dc:language>en-US</dc:language>
  <cp:lastModifiedBy>Saideepak Ramarangula</cp:lastModifiedBy>
  <dcterms:modified xsi:type="dcterms:W3CDTF">2026-10-06T16:54:17Z</dcterms:modified>
  <cp:revision>1</cp:revision>
  <dc:subject/>
  <dc:title>Retail Sales Analytics - Excel Portfolio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